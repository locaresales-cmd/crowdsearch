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営業評価シート" sheetId="1" r:id="rId4"/>
  </sheets>
  <definedNames/>
  <calcPr/>
</workbook>
</file>

<file path=xl/sharedStrings.xml><?xml version="1.0" encoding="utf-8"?>
<sst xmlns="http://schemas.openxmlformats.org/spreadsheetml/2006/main" count="318" uniqueCount="203">
  <si>
    <t>商談企業名：</t>
  </si>
  <si>
    <t>Q＆A</t>
  </si>
  <si>
    <t>日付：</t>
  </si>
  <si>
    <t>見た目</t>
  </si>
  <si>
    <t>弊社→先方質問内容</t>
  </si>
  <si>
    <t>回答</t>
  </si>
  <si>
    <t>商談先HP：</t>
  </si>
  <si>
    <t>環境整備</t>
  </si>
  <si>
    <t>先方営業担当者：</t>
  </si>
  <si>
    <t>事前情報</t>
  </si>
  <si>
    <t>営業担当者役職：</t>
  </si>
  <si>
    <t>CrowdSearch担当者：</t>
  </si>
  <si>
    <t>非言語力</t>
  </si>
  <si>
    <t>録画リンク：</t>
  </si>
  <si>
    <t>言語力</t>
  </si>
  <si>
    <t>文字起こしリンク：</t>
  </si>
  <si>
    <t>営業資料リンク：</t>
  </si>
  <si>
    <t>総合数値</t>
  </si>
  <si>
    <t>商談前ＩＳ</t>
  </si>
  <si>
    <t>商談態勢</t>
  </si>
  <si>
    <t>営業人間力</t>
  </si>
  <si>
    <t>商談対応力</t>
  </si>
  <si>
    <t>商談後フォロー</t>
  </si>
  <si>
    <t>■商談画像スクリーンショット</t>
  </si>
  <si>
    <t>先方→弊社質問内容</t>
  </si>
  <si>
    <t>型の徹底度</t>
  </si>
  <si>
    <t>資料活用レベル</t>
  </si>
  <si>
    <t>トーク完コピレベル</t>
  </si>
  <si>
    <t>虎の巻 事前準備アクション徹底</t>
  </si>
  <si>
    <t>虎の巻 課題解決徹底</t>
  </si>
  <si>
    <t>虎の巻 テクニック徹底</t>
  </si>
  <si>
    <t>【AIを用いたHP情報整理】</t>
  </si>
  <si>
    <t>【商談での情報整理】</t>
  </si>
  <si>
    <t>項目</t>
  </si>
  <si>
    <t>内容</t>
  </si>
  <si>
    <t>サービス概要</t>
  </si>
  <si>
    <t>サービスのビジネスモデル</t>
  </si>
  <si>
    <t>サービスの強み</t>
  </si>
  <si>
    <t>他社との違い</t>
  </si>
  <si>
    <t>料金プラン・料金形態</t>
  </si>
  <si>
    <t>最低料金</t>
  </si>
  <si>
    <t>最短契約期間</t>
  </si>
  <si>
    <t>導入企業の声、情報</t>
  </si>
  <si>
    <t>途中解約有無</t>
  </si>
  <si>
    <t>類似サービス、料金の競合企業</t>
  </si>
  <si>
    <t>リスト作成ツール</t>
  </si>
  <si>
    <t>コールスタッフの求人掲載有無</t>
  </si>
  <si>
    <t>ＣＴＩ</t>
  </si>
  <si>
    <t>コールスタッフ求人URL</t>
  </si>
  <si>
    <t>競合会社認識</t>
  </si>
  <si>
    <t>転職口コミサイトの声（退職率など）</t>
  </si>
  <si>
    <t>1時間当たり架電件数・アポ率エビデンス</t>
  </si>
  <si>
    <t>【全体統括コメント】</t>
  </si>
  <si>
    <t>チェックプロセス</t>
  </si>
  <si>
    <t>NO</t>
  </si>
  <si>
    <t xml:space="preserve"> 評価</t>
  </si>
  <si>
    <t>点数</t>
  </si>
  <si>
    <t>基準</t>
  </si>
  <si>
    <t>備考</t>
  </si>
  <si>
    <t>商談前</t>
  </si>
  <si>
    <t>商談前
IS</t>
  </si>
  <si>
    <t>速度</t>
  </si>
  <si>
    <t>HP問い合わせに対してのレスポンス速度</t>
  </si>
  <si>
    <t>〇</t>
  </si>
  <si>
    <t>〇：6時間以内
△：24時間以内
✕：24時間以上</t>
  </si>
  <si>
    <t>24時間以上の場合は記載</t>
  </si>
  <si>
    <t>商談前段階における連絡の基本的な返信速度（平均）</t>
  </si>
  <si>
    <t>△</t>
  </si>
  <si>
    <t>メールでのラリー回数は少なく、スムーズに日程調整ができた。</t>
  </si>
  <si>
    <t>✕</t>
  </si>
  <si>
    <t>〇：ラリー回数1~2
△：ラリー回数2~3
✕：3往復以上のラリー</t>
  </si>
  <si>
    <t>✕の具体的内容↓</t>
  </si>
  <si>
    <t>丁寧さ</t>
  </si>
  <si>
    <t>問い合わせに対しての返信はテンプレートではなく自社に合わせた形での連絡だったか。</t>
  </si>
  <si>
    <t>〇：自社に合わせた返信
✕：テンプレートと判断できる</t>
  </si>
  <si>
    <t>メールの文面は言葉遣いが丁寧で、誤字脱字がなく、不快感や違和感を感じるところはなかったか。</t>
  </si>
  <si>
    <t>〇：一切懸念なし
△：若干の懸念を感じる
✕：違和感、懸念を強く感じる</t>
  </si>
  <si>
    <t>△✕の具体的内容↓</t>
  </si>
  <si>
    <t>メールで記載されていた候補日時はスケジューラーURLではなくテキストで送ってきた。</t>
  </si>
  <si>
    <t>〇：テキストのみ候補日程多
△：テキストのみ候補日程少
✕：スケジューラー添付のみ</t>
  </si>
  <si>
    <t>メールで事前に資料が共有された。</t>
  </si>
  <si>
    <t>〇：2つ以上の共有あり
△：1つのみ共有有
✕：共有なし</t>
  </si>
  <si>
    <t>事前資料の内容↓</t>
  </si>
  <si>
    <t>仕組み</t>
  </si>
  <si>
    <t>メールでの連絡を希望していたにも関わらず電話をかけていないか</t>
  </si>
  <si>
    <t>〇：希望通りメールで連携
△：電話をかけてきた。
✕：電話を繰り返しかけてきた。</t>
  </si>
  <si>
    <t>メールに事前質問は記載されていたか？</t>
  </si>
  <si>
    <t>〇：3つ以上の質問記載
△：～3つ以内の質問記載
✕：質問記載なし</t>
  </si>
  <si>
    <t>事前質問内容添付↓</t>
  </si>
  <si>
    <t>商談前のリマインド連絡があった。</t>
  </si>
  <si>
    <t>〇：前日と当日リマインド
△：当日リマインド
✕：リマインドなし</t>
  </si>
  <si>
    <t>タイミング↓</t>
  </si>
  <si>
    <t>商談</t>
  </si>
  <si>
    <t>オンライン環境</t>
  </si>
  <si>
    <t>wifiなど、通信環境は安定しているか？(遅延△、切断×)</t>
  </si>
  <si>
    <t>オンラインの入室はオンタイムで参加したか？</t>
  </si>
  <si>
    <t>〇：オンタイム1~3分前
△：オンタイム
✕：遅刻</t>
  </si>
  <si>
    <t>カメラに映る背景は適切か？</t>
  </si>
  <si>
    <t>〇：背景画像利用あり
△：背景画像無、オフィス内
✕：ビジネスシーンに不適切な背景</t>
  </si>
  <si>
    <t>音声は遠く聞こえたりハウリングすることなくクリアに聞こえているか？</t>
  </si>
  <si>
    <t>騒音・雑音が横から聞こえないか？</t>
  </si>
  <si>
    <t>すごく気になるわけではないが、若干聞こえる。</t>
  </si>
  <si>
    <t>自分の顔が明るく見える照明の明るさか？</t>
  </si>
  <si>
    <t>生首状態や顔が見切れるなど、画角は問題ないか？</t>
  </si>
  <si>
    <t>資料の画面共有に時間を要していないか？</t>
  </si>
  <si>
    <t>外見</t>
  </si>
  <si>
    <t>ビジネスシーンに合わせた服装をしているか？（スーツ、ジャケット）</t>
  </si>
  <si>
    <t>過度なアクセサリーはつけていないか？</t>
  </si>
  <si>
    <t>髪は清潔か？</t>
  </si>
  <si>
    <t>ひげは剃っているか？or 適度な化粧はしているか？</t>
  </si>
  <si>
    <t>姿勢は崩れていないか？</t>
  </si>
  <si>
    <t>自己紹介資料の準備はあったか？</t>
  </si>
  <si>
    <t>資料のデザインは洗練されているか？</t>
  </si>
  <si>
    <t>パワーポイントのテンプレートや一般的なデザインフォーマットを使用したものではないか？</t>
  </si>
  <si>
    <t>資料</t>
  </si>
  <si>
    <t>画面共有された状態で文字が読みやすいような大きさになっているか？</t>
  </si>
  <si>
    <t>会社ごとにあわせた提案資料を用意しているか？</t>
  </si>
  <si>
    <t>料金プランの内容は理解しやすく、誤認が発生しない内容か？</t>
  </si>
  <si>
    <t>サービス提供フローはスケジュール感も含めて明確に記載されているか？</t>
  </si>
  <si>
    <t>資料に事例が記載されているか？</t>
  </si>
  <si>
    <t>具体的な数字をもとに費用対効果や価値が記載されているか？</t>
  </si>
  <si>
    <t>非言語</t>
  </si>
  <si>
    <t>自然に笑顔をつくっているか？</t>
  </si>
  <si>
    <t>褒める言葉を気後れせずに伝えられているか？</t>
  </si>
  <si>
    <t>声の大きさは大きいか？</t>
  </si>
  <si>
    <t>話す速度は営業先に合わせているか？</t>
  </si>
  <si>
    <t>声の抑揚はあるか？</t>
  </si>
  <si>
    <t>身振り手振りを行っているか？</t>
  </si>
  <si>
    <t>相手が話していることに相づちを打ったり、頷きはあるか？(多少、大げさでもOK)</t>
  </si>
  <si>
    <t>伝えたいポイントをカーソルやペンでなぞっているか？</t>
  </si>
  <si>
    <t>不快感を持たないか？(説明、対応、返答など)</t>
  </si>
  <si>
    <t>言動や対応に違和感・不審感は無いか？</t>
  </si>
  <si>
    <t>ペンで書いた文字はきれいか？</t>
  </si>
  <si>
    <t>画面にたいして、正面を向いているか？</t>
  </si>
  <si>
    <t>相手への理解度</t>
  </si>
  <si>
    <t>相手の業界の知識を持ち合わせているか？この人はわかっている！と思えるか？</t>
  </si>
  <si>
    <t>相手の商材について、イメージを持っているか？近しい業界の事例などを伝えられているか？</t>
  </si>
  <si>
    <t>ビジネスモデルの理解ができているか？キャッシュポイントなどを認識して、仮説を伝えているか？</t>
  </si>
  <si>
    <t>表情</t>
  </si>
  <si>
    <t>沈黙に不安な顔をしていないか</t>
  </si>
  <si>
    <t>相手におびえていないか？</t>
  </si>
  <si>
    <t>自社からの質問にイライラしていないか？不快感を顔に出していないか？</t>
  </si>
  <si>
    <t>言動</t>
  </si>
  <si>
    <t>○○社長/代表/様と呼んでいるか</t>
  </si>
  <si>
    <t>貢献できます。など断言ができているか？※嘘はNG</t>
  </si>
  <si>
    <t>沈黙のアテンションがあるか？</t>
  </si>
  <si>
    <t>気遣い</t>
  </si>
  <si>
    <t>咳をするときや、相手の話をしっかり聞きたいときにマイクオフにするといった気配りがあるか？</t>
  </si>
  <si>
    <t>リレーションは築けているか？(最後に雑談等)</t>
  </si>
  <si>
    <t>最後に大きな声で御礼が言えているか？</t>
  </si>
  <si>
    <t>向こうが画面を切るまで待っているか？</t>
  </si>
  <si>
    <t xml:space="preserve">商談対応力
</t>
  </si>
  <si>
    <t>冒頭</t>
  </si>
  <si>
    <t>冒頭大きな声でさわやかに挨拶できているか？</t>
  </si>
  <si>
    <t>音声の聞こえ方やカメラ画面の見え方に違和感などがないか確認しているか？</t>
  </si>
  <si>
    <t>いきなり質問から始めるのではなく商談の方向性や流れを明確にしてからスタートしているか？</t>
  </si>
  <si>
    <t>商談担当者の自己紹介は行っているか？</t>
  </si>
  <si>
    <t>打ち合わせのタイムスケジュール感を冒頭ですり合わせているか？</t>
  </si>
  <si>
    <t>質問</t>
  </si>
  <si>
    <t>商談をされる側が不快感を示すような一方的な質問責めをしていないか？</t>
  </si>
  <si>
    <t>HPや事前情報を調べれば把握できるような質問をしていないか？</t>
  </si>
  <si>
    <t>質問に回答した後の相槌や反応はしているか？</t>
  </si>
  <si>
    <t>質問に回答した後のメモに時間を要して沈黙の時間を生んでいないか？</t>
  </si>
  <si>
    <t>質問回答後に「ありがとうございます」と御礼を伝えているか？</t>
  </si>
  <si>
    <t>サービス説明</t>
  </si>
  <si>
    <t>自社の会社概要について話しているか？</t>
  </si>
  <si>
    <t>提供するサービスのビジネスモデルを分かりやすく簡潔に話しているか？</t>
  </si>
  <si>
    <t>ビジネスモデルは企業HP記載の内容と一致しているか？(虚偽、誇大記載はしていないか？)</t>
  </si>
  <si>
    <t>他社との違いや優位性について触れているか？</t>
  </si>
  <si>
    <t>事例共有は営業を受ける側に近い事例を準備し、説明しているか？</t>
  </si>
  <si>
    <t>具体的な数値効果について仮説を交えながらわかりやすく説明しているか？</t>
  </si>
  <si>
    <t>一方的なサービス説明に終始するのではなく、中間で質疑応答の時間を設けているか？</t>
  </si>
  <si>
    <t>サービスフローはスケジュール感を交えて説明できているか？</t>
  </si>
  <si>
    <t>料金プランは一部を切り出して説明するのではなく、全体でかかる費用を網羅的に説明できているか？</t>
  </si>
  <si>
    <t>リスクやデメリットについても説明しているか？</t>
  </si>
  <si>
    <t>営業を受けている側のニーズに合わせた提案を行っているか？</t>
  </si>
  <si>
    <t>質問に対して結論ファーストで簡潔に回答できているか？</t>
  </si>
  <si>
    <t>自社・他社情報を共有する際には情報セキュリティに十分に配慮できているか？</t>
  </si>
  <si>
    <t>管理画面などを見せていたらＮＧ</t>
  </si>
  <si>
    <t>クロージング</t>
  </si>
  <si>
    <t>BANT情報を聞けているか？</t>
  </si>
  <si>
    <t>導入に向けた懸念点を聞き出しているか？（テストクロージング）</t>
  </si>
  <si>
    <t xml:space="preserve">https://www.wawaoffice.jp/wawawork/bant/  </t>
  </si>
  <si>
    <t>金額懸念に対しての交渉に応じる姿勢は見せているか？</t>
  </si>
  <si>
    <t>ネクストアクションの提案やすり合わせを行っているか？</t>
  </si>
  <si>
    <t>決裁者を交えた次回打ち合わせ日程調整の打診を行っているか？</t>
  </si>
  <si>
    <t>検討期限を区切っているか？</t>
  </si>
  <si>
    <t>金額に対しての価値が伝わっており、価格に対し安いと思える価値訴求ができているか？</t>
  </si>
  <si>
    <t>強引なクロージングで終えるのではなく気分の良い終話だったか</t>
  </si>
  <si>
    <t>商談後</t>
  </si>
  <si>
    <t>商談後対応</t>
  </si>
  <si>
    <t>商談後のサンクスメールは最速で送られてきたか？</t>
  </si>
  <si>
    <t>サンクスメールは商談企業ごとに内容を合わせて送っているか？</t>
  </si>
  <si>
    <t>商談後に追加質問を送った後の回答返信速度</t>
  </si>
  <si>
    <t>商談で区切った検討期限日時にフォローの連絡があったか</t>
  </si>
  <si>
    <t>営業資料だけではなく事例や提案資料など検討材料になりえる資料の共有があったか</t>
  </si>
  <si>
    <t>全体評価</t>
  </si>
  <si>
    <t>会社自体に信頼性を感じることができたか？</t>
  </si>
  <si>
    <t>サービス自体に信頼性を持てると感じることはできたか？</t>
  </si>
  <si>
    <t>営業マンの対応は正直かつ誠実で好印象を持つことはできたか？</t>
  </si>
  <si>
    <t>相手の立場にたった商談だったと評価することはできるか？</t>
  </si>
  <si>
    <t>サービス内容はわかりやすく、商談の時間で理解しきることはできたか？</t>
  </si>
  <si>
    <t>営業代行会社への発注をしている企業に勧めたいと思えたか？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</si>
</sst>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quot;点&quot;"/>
  </numFmts>
  <fonts count="30">
    <font>
      <sz val="10.0"/>
      <color rgb="FF000000"/>
      <name val="Arial"/>
      <scheme val="minor"/>
    </font>
    <font>
      <b/>
      <sz val="13.0"/>
      <color rgb="FF000000"/>
      <name val="Arial"/>
    </font>
    <font>
      <sz val="10.0"/>
      <color rgb="FF000000"/>
      <name val="Arial"/>
    </font>
    <font/>
    <font>
      <sz val="10.0"/>
      <color rgb="FF000000"/>
      <name val="&quot;Meiryo UI&quot;"/>
    </font>
    <font>
      <sz val="10.0"/>
      <color rgb="FFFFFFFF"/>
      <name val="&quot;Meiryo UI&quot;"/>
    </font>
    <font>
      <b/>
      <sz val="14.0"/>
      <color theme="1"/>
      <name val="Arial"/>
      <scheme val="minor"/>
    </font>
    <font>
      <b/>
      <sz val="10.0"/>
      <color rgb="FF000000"/>
      <name val="Arial"/>
    </font>
    <font>
      <sz val="10.0"/>
      <color rgb="FFFFFFFF"/>
      <name val="Arial"/>
    </font>
    <font>
      <color rgb="FF000000"/>
      <name val="Arial"/>
      <scheme val="minor"/>
    </font>
    <font>
      <color rgb="FFFFFFFF"/>
      <name val="Arial"/>
      <scheme val="minor"/>
    </font>
    <font>
      <b/>
      <color rgb="FF000000"/>
      <name val="Arial"/>
      <scheme val="minor"/>
    </font>
    <font>
      <sz val="10.0"/>
      <color theme="1"/>
      <name val="Arial"/>
    </font>
    <font>
      <b/>
      <color theme="1"/>
      <name val="Arial"/>
      <scheme val="minor"/>
    </font>
    <font>
      <b/>
      <sz val="12.0"/>
      <color theme="0"/>
      <name val="Arial"/>
      <scheme val="minor"/>
    </font>
    <font>
      <b/>
      <sz val="18.0"/>
      <color rgb="FF000000"/>
      <name val="&quot;Meiryo UI&quot;"/>
    </font>
    <font>
      <color theme="1"/>
      <name val="Arial"/>
      <scheme val="minor"/>
    </font>
    <font>
      <b/>
      <sz val="10.0"/>
      <color theme="0"/>
      <name val="&quot;Meiryo UI&quot;"/>
    </font>
    <font>
      <b/>
      <sz val="10.0"/>
      <color rgb="FFFFFFFF"/>
      <name val="Arial"/>
    </font>
    <font>
      <b/>
      <sz val="18.0"/>
      <color rgb="FF000000"/>
      <name val="Arial"/>
    </font>
    <font>
      <b/>
      <sz val="10.0"/>
      <color rgb="FFFFFFFF"/>
      <name val="&quot;Meiryo UI&quot;"/>
    </font>
    <font>
      <b/>
      <sz val="8.0"/>
      <color theme="0"/>
      <name val="Arial"/>
    </font>
    <font>
      <color rgb="FFFFFFFF"/>
      <name val="Arial"/>
    </font>
    <font>
      <b/>
      <sz val="10.0"/>
      <color theme="0"/>
      <name val="Arial"/>
    </font>
    <font>
      <b/>
      <sz val="24.0"/>
      <color rgb="FF000000"/>
      <name val="Arial"/>
    </font>
    <font>
      <b/>
      <sz val="12.0"/>
      <color rgb="FF000000"/>
      <name val="Arial"/>
    </font>
    <font>
      <b/>
      <sz val="17.0"/>
      <color rgb="FFFFFFFF"/>
      <name val="Arial"/>
    </font>
    <font>
      <b/>
      <sz val="11.0"/>
      <color rgb="FF000000"/>
      <name val="Arial"/>
    </font>
    <font>
      <color theme="1"/>
      <name val="Arial"/>
    </font>
    <font>
      <u/>
      <sz val="10.0"/>
      <color rgb="FF000000"/>
      <name val="Arial"/>
    </font>
  </fonts>
  <fills count="14">
    <fill>
      <patternFill patternType="none"/>
    </fill>
    <fill>
      <patternFill patternType="lightGray"/>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2">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bottom style="dotted">
        <color rgb="FF000000"/>
      </bottom>
    </border>
    <border>
      <left style="thick">
        <color rgb="FF000000"/>
      </left>
      <right style="thick">
        <color rgb="FF000000"/>
      </right>
      <top style="dotted">
        <color rgb="FF000000"/>
      </top>
      <bottom style="dotted">
        <color rgb="FF000000"/>
      </bottom>
    </border>
    <border>
      <left style="thick">
        <color rgb="FF000000"/>
      </left>
      <right style="thick">
        <color rgb="FF000000"/>
      </right>
      <top style="dotted">
        <color rgb="FF000000"/>
      </top>
      <bottom style="thick">
        <color rgb="FF000000"/>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ck">
        <color rgb="FF000000"/>
      </left>
      <bottom style="dotted">
        <color rgb="FF000000"/>
      </bottom>
    </border>
    <border>
      <right style="thin">
        <color rgb="FF000000"/>
      </right>
      <bottom style="dotted">
        <color rgb="FF000000"/>
      </bottom>
    </border>
    <border>
      <left style="thin">
        <color rgb="FF000000"/>
      </left>
      <bottom style="dotted">
        <color rgb="FF000000"/>
      </bottom>
    </border>
    <border>
      <bottom style="dotted">
        <color rgb="FF000000"/>
      </bottom>
    </border>
    <border>
      <right style="thick">
        <color rgb="FF000000"/>
      </right>
      <bottom style="dotted">
        <color rgb="FF000000"/>
      </bottom>
    </border>
    <border>
      <left style="thick">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left style="thick">
        <color rgb="FF000000"/>
      </left>
      <top style="dotted">
        <color rgb="FF000000"/>
      </top>
      <bottom style="thick">
        <color rgb="FF000000"/>
      </bottom>
    </border>
    <border>
      <right style="thin">
        <color rgb="FF000000"/>
      </right>
      <top style="dotted">
        <color rgb="FF000000"/>
      </top>
      <bottom style="thick">
        <color rgb="FF000000"/>
      </bottom>
    </border>
    <border>
      <left style="thin">
        <color rgb="FF000000"/>
      </left>
      <top style="dotted">
        <color rgb="FF000000"/>
      </top>
      <bottom style="thick">
        <color rgb="FF000000"/>
      </bottom>
    </border>
    <border>
      <top style="dotted">
        <color rgb="FF000000"/>
      </top>
      <bottom style="thick">
        <color rgb="FF000000"/>
      </bottom>
    </border>
    <border>
      <right style="thick">
        <color rgb="FF000000"/>
      </right>
      <top style="dotted">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999999"/>
      </left>
      <right style="thin">
        <color rgb="FF999999"/>
      </right>
      <top style="thin">
        <color rgb="FF999999"/>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999999"/>
      </left>
      <right style="thin">
        <color rgb="FF000000"/>
      </right>
      <top style="thin">
        <color rgb="FF999999"/>
      </top>
      <bottom style="thin">
        <color rgb="FF000000"/>
      </bottom>
    </border>
    <border>
      <left style="thin">
        <color rgb="FF000000"/>
      </left>
      <right style="thin">
        <color rgb="FF999999"/>
      </right>
      <top style="thin">
        <color rgb="FF999999"/>
      </top>
      <bottom style="thin">
        <color rgb="FF000000"/>
      </bottom>
    </border>
    <border>
      <left style="thin">
        <color rgb="FF999999"/>
      </left>
      <right style="thin">
        <color rgb="FF000000"/>
      </right>
      <top style="thin">
        <color rgb="FF000000"/>
      </top>
      <bottom style="thin">
        <color rgb="FF000000"/>
      </bottom>
    </border>
    <border>
      <left style="thin">
        <color rgb="FF000000"/>
      </left>
      <right style="thin">
        <color rgb="FF999999"/>
      </right>
      <top style="thin">
        <color rgb="FF000000"/>
      </top>
      <bottom style="thin">
        <color rgb="FF000000"/>
      </bottom>
    </border>
    <border>
      <left style="thin">
        <color rgb="FF999999"/>
      </left>
      <right style="thin">
        <color rgb="FF000000"/>
      </right>
      <top style="thin">
        <color rgb="FF000000"/>
      </top>
    </border>
    <border>
      <left style="thin">
        <color rgb="FF000000"/>
      </left>
      <right style="thin">
        <color rgb="FF999999"/>
      </right>
      <top style="thin">
        <color rgb="FF000000"/>
      </top>
    </border>
    <border>
      <left style="thin">
        <color rgb="FF000000"/>
      </left>
      <right style="thin">
        <color rgb="FF000000"/>
      </right>
      <top style="thin">
        <color rgb="FF000000"/>
      </top>
      <bottom style="thin">
        <color rgb="FF000000"/>
      </bottom>
    </border>
    <border>
      <left style="thin">
        <color rgb="FF999999"/>
      </left>
      <right style="thin">
        <color rgb="FF999999"/>
      </right>
    </border>
    <border>
      <left style="thin">
        <color rgb="FF999999"/>
      </left>
      <right style="thin">
        <color rgb="FF999999"/>
      </right>
      <bottom style="thin">
        <color rgb="FF999999"/>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right" readingOrder="0" shrinkToFit="0" vertical="center" wrapText="0"/>
    </xf>
    <xf borderId="2" fillId="0" fontId="2" numFmtId="164" xfId="0" applyAlignment="1" applyBorder="1" applyFont="1" applyNumberFormat="1">
      <alignment horizontal="left" readingOrder="0" shrinkToFit="0" vertical="center" wrapText="0"/>
    </xf>
    <xf borderId="3" fillId="0" fontId="3" numFmtId="0" xfId="0" applyBorder="1" applyFont="1"/>
    <xf borderId="4" fillId="0" fontId="3" numFmtId="0" xfId="0" applyBorder="1" applyFont="1"/>
    <xf borderId="0" fillId="0" fontId="4"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horizontal="center" readingOrder="0" vertical="center"/>
    </xf>
    <xf borderId="5" fillId="2" fontId="6" numFmtId="0" xfId="0" applyAlignment="1" applyBorder="1" applyFont="1">
      <alignment horizontal="center" readingOrder="0" vertical="center"/>
    </xf>
    <xf borderId="6" fillId="0" fontId="3" numFmtId="0" xfId="0" applyBorder="1" applyFont="1"/>
    <xf borderId="1" fillId="2" fontId="7" numFmtId="0" xfId="0" applyAlignment="1" applyBorder="1" applyFont="1">
      <alignment horizontal="right" readingOrder="0" shrinkToFit="0" vertical="center" wrapText="0"/>
    </xf>
    <xf borderId="2" fillId="0" fontId="2" numFmtId="0" xfId="0" applyAlignment="1" applyBorder="1" applyFont="1">
      <alignment horizontal="left" readingOrder="0" shrinkToFit="0" vertical="center" wrapText="0"/>
    </xf>
    <xf borderId="0" fillId="0" fontId="8" numFmtId="0" xfId="0" applyAlignment="1" applyFont="1">
      <alignment horizontal="right" readingOrder="0" vertical="center"/>
    </xf>
    <xf borderId="0" fillId="0" fontId="9" numFmtId="0" xfId="0" applyAlignment="1" applyFont="1">
      <alignment horizontal="center" vertical="center"/>
    </xf>
    <xf borderId="0" fillId="0" fontId="4" numFmtId="165" xfId="0" applyAlignment="1" applyFont="1" applyNumberFormat="1">
      <alignment horizontal="center" readingOrder="0" vertical="center"/>
    </xf>
    <xf borderId="5" fillId="3" fontId="7" numFmtId="0" xfId="0" applyAlignment="1" applyBorder="1" applyFill="1" applyFont="1">
      <alignment horizontal="center" readingOrder="0" vertical="center"/>
    </xf>
    <xf borderId="6" fillId="3" fontId="7" numFmtId="0" xfId="0" applyAlignment="1" applyBorder="1" applyFont="1">
      <alignment horizontal="center" readingOrder="0" vertical="center"/>
    </xf>
    <xf borderId="0" fillId="0" fontId="2" numFmtId="165" xfId="0" applyAlignment="1" applyFont="1" applyNumberFormat="1">
      <alignment horizontal="center" readingOrder="0" vertical="center"/>
    </xf>
    <xf borderId="7" fillId="0" fontId="7" numFmtId="0" xfId="0" applyAlignment="1" applyBorder="1" applyFont="1">
      <alignment horizontal="left" readingOrder="0" shrinkToFit="0" vertical="center" wrapText="1"/>
    </xf>
    <xf borderId="2" fillId="0" fontId="4" numFmtId="0" xfId="0" applyAlignment="1" applyBorder="1" applyFont="1">
      <alignment horizontal="left" readingOrder="0" shrinkToFit="0" vertical="center" wrapText="0"/>
    </xf>
    <xf borderId="0" fillId="0" fontId="10" numFmtId="0" xfId="0" applyAlignment="1" applyFont="1">
      <alignment horizontal="right" readingOrder="0"/>
    </xf>
    <xf borderId="8" fillId="0" fontId="7" numFmtId="0" xfId="0" applyAlignment="1" applyBorder="1" applyFont="1">
      <alignment horizontal="left" readingOrder="0" shrinkToFit="0" vertical="center" wrapText="1"/>
    </xf>
    <xf borderId="0" fillId="0" fontId="10" numFmtId="0" xfId="0" applyFont="1"/>
    <xf borderId="0" fillId="0" fontId="9" numFmtId="0" xfId="0" applyFont="1"/>
    <xf borderId="0" fillId="0" fontId="11" numFmtId="0" xfId="0" applyAlignment="1" applyFont="1">
      <alignment readingOrder="0"/>
    </xf>
    <xf borderId="2" fillId="0" fontId="12" numFmtId="0" xfId="0" applyAlignment="1" applyBorder="1" applyFont="1">
      <alignment horizontal="left" readingOrder="0" shrinkToFit="0" vertical="center" wrapText="0"/>
    </xf>
    <xf borderId="1" fillId="2" fontId="13" numFmtId="0" xfId="0" applyAlignment="1" applyBorder="1" applyFont="1">
      <alignment horizontal="right" readingOrder="0" vertical="center"/>
    </xf>
    <xf borderId="2" fillId="0" fontId="2" numFmtId="0" xfId="0" applyAlignment="1" applyBorder="1" applyFont="1">
      <alignment horizontal="center" readingOrder="0" shrinkToFit="0" vertical="center" wrapText="0"/>
    </xf>
    <xf borderId="1" fillId="4" fontId="14" numFmtId="0" xfId="0" applyAlignment="1" applyBorder="1" applyFill="1" applyFont="1">
      <alignment horizontal="right" readingOrder="0" vertical="center"/>
    </xf>
    <xf borderId="2" fillId="0" fontId="15" numFmtId="165" xfId="0" applyAlignment="1" applyBorder="1" applyFont="1" applyNumberFormat="1">
      <alignment horizontal="center" readingOrder="0" shrinkToFit="0" vertical="center" wrapText="0"/>
    </xf>
    <xf borderId="1" fillId="5" fontId="7" numFmtId="0" xfId="0" applyAlignment="1" applyBorder="1" applyFill="1" applyFont="1">
      <alignment horizontal="right" readingOrder="0" vertical="center"/>
    </xf>
    <xf borderId="2" fillId="0" fontId="4" numFmtId="165" xfId="0" applyAlignment="1" applyBorder="1" applyFont="1" applyNumberFormat="1">
      <alignment horizontal="center" readingOrder="0" vertical="center"/>
    </xf>
    <xf borderId="1" fillId="6" fontId="7" numFmtId="0" xfId="0" applyAlignment="1" applyBorder="1" applyFill="1" applyFont="1">
      <alignment horizontal="right" readingOrder="0" vertical="center"/>
    </xf>
    <xf borderId="0" fillId="0" fontId="8" numFmtId="0" xfId="0" applyAlignment="1" applyFont="1">
      <alignment horizontal="center" readingOrder="0" shrinkToFit="0" vertical="center" wrapText="0"/>
    </xf>
    <xf borderId="1" fillId="7" fontId="7" numFmtId="0" xfId="0" applyAlignment="1" applyBorder="1" applyFill="1" applyFont="1">
      <alignment horizontal="right" readingOrder="0" vertical="center"/>
    </xf>
    <xf borderId="0" fillId="0" fontId="10" numFmtId="0" xfId="0" applyAlignment="1" applyFont="1">
      <alignment readingOrder="0"/>
    </xf>
    <xf borderId="1" fillId="3" fontId="7" numFmtId="0" xfId="0" applyAlignment="1" applyBorder="1" applyFont="1">
      <alignment horizontal="right" readingOrder="0" vertical="center"/>
    </xf>
    <xf borderId="1" fillId="8" fontId="7" numFmtId="0" xfId="0" applyAlignment="1" applyBorder="1" applyFill="1" applyFont="1">
      <alignment horizontal="right" readingOrder="0" vertical="center"/>
    </xf>
    <xf borderId="2" fillId="0" fontId="7" numFmtId="0" xfId="0" applyAlignment="1" applyBorder="1" applyFont="1">
      <alignment horizontal="center" readingOrder="0" vertical="center"/>
    </xf>
    <xf borderId="0" fillId="0" fontId="16" numFmtId="0" xfId="0" applyAlignment="1" applyFont="1">
      <alignment horizontal="center" vertical="center"/>
    </xf>
    <xf borderId="0" fillId="0" fontId="7" numFmtId="0" xfId="0" applyAlignment="1" applyFont="1">
      <alignment horizontal="center" readingOrder="0" vertical="center"/>
    </xf>
    <xf borderId="9" fillId="0" fontId="7" numFmtId="0" xfId="0" applyAlignment="1" applyBorder="1" applyFont="1">
      <alignment horizontal="left" readingOrder="0" vertical="center"/>
    </xf>
    <xf borderId="10" fillId="0" fontId="17" numFmtId="0" xfId="0" applyAlignment="1" applyBorder="1" applyFont="1">
      <alignment horizontal="center" readingOrder="0" vertical="center"/>
    </xf>
    <xf borderId="11" fillId="0" fontId="3" numFmtId="0" xfId="0" applyBorder="1" applyFont="1"/>
    <xf borderId="12" fillId="0" fontId="3" numFmtId="0" xfId="0" applyBorder="1" applyFont="1"/>
    <xf borderId="0" fillId="0" fontId="10" numFmtId="0" xfId="0" applyAlignment="1" applyFont="1">
      <alignment horizontal="center" vertical="center"/>
    </xf>
    <xf borderId="5" fillId="9" fontId="7" numFmtId="0" xfId="0" applyAlignment="1" applyBorder="1" applyFill="1" applyFont="1">
      <alignment horizontal="center" readingOrder="0" shrinkToFit="0" vertical="center" wrapText="1"/>
    </xf>
    <xf borderId="6" fillId="9" fontId="7" numFmtId="0" xfId="0" applyAlignment="1" applyBorder="1" applyFont="1">
      <alignment horizontal="center" readingOrder="0" shrinkToFit="0" vertical="center" wrapText="1"/>
    </xf>
    <xf borderId="13" fillId="0" fontId="3" numFmtId="0" xfId="0" applyBorder="1" applyFont="1"/>
    <xf borderId="14" fillId="0" fontId="3" numFmtId="0" xfId="0" applyBorder="1" applyFont="1"/>
    <xf borderId="0" fillId="0" fontId="9" numFmtId="0" xfId="0" applyAlignment="1" applyFont="1">
      <alignment horizontal="center" readingOrder="0" vertical="center"/>
    </xf>
    <xf borderId="15" fillId="0" fontId="3" numFmtId="0" xfId="0" applyBorder="1" applyFont="1"/>
    <xf borderId="16" fillId="0" fontId="3" numFmtId="0" xfId="0" applyBorder="1" applyFont="1"/>
    <xf borderId="17" fillId="0" fontId="3" numFmtId="0" xfId="0" applyBorder="1" applyFont="1"/>
    <xf borderId="9" fillId="0" fontId="7" numFmtId="0" xfId="0" applyAlignment="1" applyBorder="1" applyFont="1">
      <alignment horizontal="left" readingOrder="0" shrinkToFit="0" vertical="center" wrapText="1"/>
    </xf>
    <xf borderId="0" fillId="0" fontId="2" numFmtId="0" xfId="0" applyAlignment="1" applyFont="1">
      <alignment horizontal="right" readingOrder="0" vertical="center"/>
    </xf>
    <xf borderId="0" fillId="0" fontId="5" numFmtId="0" xfId="0" applyAlignment="1" applyFont="1">
      <alignment horizontal="left" readingOrder="0" shrinkToFit="0" vertical="center" wrapText="0"/>
    </xf>
    <xf borderId="0" fillId="0" fontId="18" numFmtId="0" xfId="0" applyAlignment="1" applyFont="1">
      <alignment horizontal="center" readingOrder="0" vertical="center"/>
    </xf>
    <xf borderId="18" fillId="0" fontId="19"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7" numFmtId="0" xfId="0" applyAlignment="1" applyBorder="1" applyFont="1">
      <alignment horizontal="center" readingOrder="0" vertical="center"/>
    </xf>
    <xf borderId="22" fillId="0" fontId="3" numFmtId="0" xfId="0" applyBorder="1" applyFont="1"/>
    <xf borderId="23" fillId="0" fontId="7" numFmtId="0" xfId="0" applyAlignment="1" applyBorder="1" applyFont="1">
      <alignment horizontal="center" readingOrder="0" vertical="center"/>
    </xf>
    <xf borderId="24" fillId="0" fontId="3" numFmtId="0" xfId="0" applyBorder="1" applyFont="1"/>
    <xf borderId="25" fillId="0" fontId="3" numFmtId="0" xfId="0" applyBorder="1" applyFont="1"/>
    <xf borderId="26" fillId="0" fontId="2" numFmtId="0" xfId="0" applyAlignment="1" applyBorder="1" applyFont="1">
      <alignment horizontal="left" readingOrder="0" vertical="center"/>
    </xf>
    <xf borderId="27" fillId="0" fontId="3" numFmtId="0" xfId="0" applyBorder="1" applyFont="1"/>
    <xf borderId="28" fillId="0" fontId="2" numFmtId="0" xfId="0" applyAlignment="1" applyBorder="1" applyFont="1">
      <alignment horizontal="center" readingOrder="0" vertical="center"/>
    </xf>
    <xf borderId="29" fillId="0" fontId="3" numFmtId="0" xfId="0" applyBorder="1" applyFont="1"/>
    <xf borderId="30" fillId="0" fontId="3" numFmtId="0" xfId="0" applyBorder="1" applyFont="1"/>
    <xf borderId="31" fillId="0" fontId="2" numFmtId="0" xfId="0" applyAlignment="1" applyBorder="1" applyFont="1">
      <alignment horizontal="left" readingOrder="0" vertical="center"/>
    </xf>
    <xf borderId="32" fillId="0" fontId="3" numFmtId="0" xfId="0" applyBorder="1" applyFont="1"/>
    <xf borderId="33" fillId="0" fontId="2" numFmtId="0" xfId="0" applyAlignment="1" applyBorder="1" applyFont="1">
      <alignment horizontal="center" readingOrder="0" vertical="center"/>
    </xf>
    <xf borderId="34" fillId="0" fontId="3" numFmtId="0" xfId="0" applyBorder="1" applyFont="1"/>
    <xf borderId="35" fillId="0" fontId="3" numFmtId="0" xfId="0" applyBorder="1" applyFont="1"/>
    <xf borderId="36" fillId="0" fontId="2" numFmtId="0" xfId="0" applyAlignment="1" applyBorder="1" applyFont="1">
      <alignment horizontal="left" readingOrder="0" vertical="center"/>
    </xf>
    <xf borderId="37" fillId="0" fontId="3" numFmtId="0" xfId="0" applyBorder="1" applyFont="1"/>
    <xf borderId="38" fillId="0" fontId="2" numFmtId="0" xfId="0" applyAlignment="1" applyBorder="1" applyFont="1">
      <alignment horizontal="center" readingOrder="0" vertical="center"/>
    </xf>
    <xf borderId="39" fillId="0" fontId="3" numFmtId="0" xfId="0" applyBorder="1" applyFont="1"/>
    <xf borderId="40" fillId="0" fontId="3" numFmtId="0" xfId="0" applyBorder="1" applyFont="1"/>
    <xf borderId="0" fillId="0" fontId="20" numFmtId="0" xfId="0" applyAlignment="1" applyFont="1">
      <alignment horizontal="center" readingOrder="0" vertical="center"/>
    </xf>
    <xf borderId="0" fillId="0" fontId="21" numFmtId="0" xfId="0" applyAlignment="1" applyFont="1">
      <alignment horizontal="center" readingOrder="0" vertical="center"/>
    </xf>
    <xf borderId="0" fillId="0" fontId="22" numFmtId="0" xfId="0" applyAlignment="1" applyFont="1">
      <alignment horizontal="center"/>
    </xf>
    <xf borderId="0" fillId="0" fontId="22" numFmtId="0" xfId="0" applyAlignment="1" applyFont="1">
      <alignment shrinkToFit="0" vertical="bottom" wrapText="0"/>
    </xf>
    <xf borderId="0" fillId="0" fontId="23" numFmtId="0" xfId="0" applyAlignment="1" applyFont="1">
      <alignment horizontal="center" readingOrder="0" vertical="center"/>
    </xf>
    <xf borderId="0" fillId="0" fontId="17" numFmtId="0" xfId="0" applyAlignment="1" applyFont="1">
      <alignment horizontal="center" readingOrder="0" vertical="center"/>
    </xf>
    <xf borderId="41" fillId="0" fontId="24" numFmtId="0" xfId="0" applyAlignment="1" applyBorder="1" applyFont="1">
      <alignment horizontal="center" readingOrder="0" vertical="center"/>
    </xf>
    <xf borderId="42" fillId="0" fontId="3" numFmtId="0" xfId="0" applyBorder="1" applyFont="1"/>
    <xf borderId="43" fillId="0" fontId="3" numFmtId="0" xfId="0" applyBorder="1" applyFont="1"/>
    <xf borderId="44" fillId="0" fontId="3" numFmtId="0" xfId="0" applyBorder="1" applyFont="1"/>
    <xf borderId="45" fillId="0" fontId="3" numFmtId="0" xfId="0" applyBorder="1" applyFont="1"/>
    <xf borderId="46" fillId="0" fontId="3" numFmtId="0" xfId="0" applyBorder="1" applyFont="1"/>
    <xf borderId="41" fillId="0" fontId="25" numFmtId="0" xfId="0" applyAlignment="1" applyBorder="1" applyFont="1">
      <alignment horizontal="left" readingOrder="0" shrinkToFit="0" vertical="center" wrapText="1"/>
    </xf>
    <xf borderId="47" fillId="0" fontId="3" numFmtId="0" xfId="0" applyBorder="1" applyFont="1"/>
    <xf borderId="48" fillId="0" fontId="3" numFmtId="0" xfId="0" applyBorder="1" applyFont="1"/>
    <xf borderId="1" fillId="4" fontId="17" numFmtId="0" xfId="0" applyAlignment="1" applyBorder="1" applyFont="1">
      <alignment horizontal="center" readingOrder="0" vertical="center"/>
    </xf>
    <xf borderId="49" fillId="4" fontId="21" numFmtId="0" xfId="0" applyAlignment="1" applyBorder="1" applyFont="1">
      <alignment horizontal="center" readingOrder="0" vertical="center"/>
    </xf>
    <xf borderId="2" fillId="4" fontId="23" numFmtId="0" xfId="0" applyAlignment="1" applyBorder="1" applyFont="1">
      <alignment horizontal="center" readingOrder="0" vertical="center"/>
    </xf>
    <xf borderId="1" fillId="4" fontId="18" numFmtId="0" xfId="0" applyAlignment="1" applyBorder="1" applyFont="1">
      <alignment horizontal="center" readingOrder="0" vertical="center"/>
    </xf>
    <xf borderId="2" fillId="4" fontId="18" numFmtId="0" xfId="0" applyAlignment="1" applyBorder="1" applyFont="1">
      <alignment horizontal="center" readingOrder="0" vertical="center"/>
    </xf>
    <xf borderId="15" fillId="4" fontId="26" numFmtId="0" xfId="0" applyAlignment="1" applyBorder="1" applyFont="1">
      <alignment horizontal="center" readingOrder="0" vertical="center"/>
    </xf>
    <xf borderId="50" fillId="5" fontId="27" numFmtId="0" xfId="0" applyAlignment="1" applyBorder="1" applyFont="1">
      <alignment horizontal="center" readingOrder="0" vertical="center"/>
    </xf>
    <xf borderId="50" fillId="5" fontId="2" numFmtId="0" xfId="0" applyAlignment="1" applyBorder="1" applyFont="1">
      <alignment horizontal="center" readingOrder="0" vertical="center"/>
    </xf>
    <xf borderId="4" fillId="0" fontId="28" numFmtId="3" xfId="0" applyAlignment="1" applyBorder="1" applyFont="1" applyNumberFormat="1">
      <alignment horizontal="center"/>
    </xf>
    <xf borderId="2" fillId="0" fontId="28" numFmtId="0" xfId="0" applyAlignment="1" applyBorder="1" applyFont="1">
      <alignment readingOrder="0" vertical="bottom"/>
    </xf>
    <xf borderId="1" fillId="0" fontId="2" numFmtId="0" xfId="0" applyAlignment="1" applyBorder="1" applyFont="1">
      <alignment horizontal="center" readingOrder="0" shrinkToFit="0" vertical="center" wrapText="0"/>
    </xf>
    <xf borderId="1" fillId="0" fontId="4" numFmtId="0" xfId="0" applyAlignment="1" applyBorder="1" applyFont="1">
      <alignment horizontal="left" vertical="center"/>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top" wrapText="1"/>
    </xf>
    <xf borderId="51" fillId="0" fontId="3" numFmtId="0" xfId="0" applyBorder="1" applyFont="1"/>
    <xf borderId="1" fillId="0" fontId="4" numFmtId="0" xfId="0" applyAlignment="1" applyBorder="1" applyFont="1">
      <alignment horizontal="left" readingOrder="0" shrinkToFit="0" vertical="top" wrapText="1"/>
    </xf>
    <xf borderId="52" fillId="0" fontId="3" numFmtId="0" xfId="0" applyBorder="1" applyFont="1"/>
    <xf borderId="1" fillId="0" fontId="4" numFmtId="0" xfId="0" applyAlignment="1" applyBorder="1" applyFont="1">
      <alignment horizontal="left" shrinkToFit="0" vertical="top" wrapText="1"/>
    </xf>
    <xf borderId="14" fillId="5" fontId="2" numFmtId="0" xfId="0" applyAlignment="1" applyBorder="1" applyFont="1">
      <alignment horizontal="center" readingOrder="0" vertical="center"/>
    </xf>
    <xf borderId="1" fillId="0" fontId="28" numFmtId="3" xfId="0" applyAlignment="1" applyBorder="1" applyFont="1" applyNumberFormat="1">
      <alignment horizontal="center"/>
    </xf>
    <xf borderId="10" fillId="6" fontId="27" numFmtId="0" xfId="0" applyAlignment="1" applyBorder="1" applyFont="1">
      <alignment horizontal="center" readingOrder="0" vertical="center"/>
    </xf>
    <xf borderId="50" fillId="6" fontId="2" numFmtId="0" xfId="0" applyAlignment="1" applyBorder="1" applyFont="1">
      <alignment horizontal="center" readingOrder="0" vertical="center"/>
    </xf>
    <xf borderId="4" fillId="0" fontId="2" numFmtId="3" xfId="0" applyAlignment="1" applyBorder="1" applyFont="1" applyNumberFormat="1">
      <alignment horizontal="center" readingOrder="0" vertical="center"/>
    </xf>
    <xf borderId="2" fillId="0" fontId="4" numFmtId="0" xfId="0" applyAlignment="1" applyBorder="1" applyFont="1">
      <alignment horizontal="left" readingOrder="0" vertical="center"/>
    </xf>
    <xf borderId="53" fillId="0" fontId="4" numFmtId="0" xfId="0" applyAlignment="1" applyBorder="1" applyFont="1">
      <alignment horizontal="left" shrinkToFit="0" vertical="center" wrapText="1"/>
    </xf>
    <xf borderId="54" fillId="0" fontId="4" numFmtId="0" xfId="0" applyAlignment="1" applyBorder="1" applyFont="1">
      <alignment horizontal="left" vertical="center"/>
    </xf>
    <xf borderId="2" fillId="0" fontId="2" numFmtId="0" xfId="0" applyAlignment="1" applyBorder="1" applyFont="1">
      <alignment horizontal="left" readingOrder="0" vertical="center"/>
    </xf>
    <xf borderId="55" fillId="0" fontId="2" numFmtId="0" xfId="0" applyAlignment="1" applyBorder="1" applyFont="1">
      <alignment horizontal="left" readingOrder="0" shrinkToFit="0" vertical="center" wrapText="1"/>
    </xf>
    <xf borderId="56" fillId="0" fontId="2" numFmtId="0" xfId="0" applyAlignment="1" applyBorder="1" applyFont="1">
      <alignment horizontal="left" readingOrder="0" vertical="center"/>
    </xf>
    <xf borderId="55" fillId="0" fontId="4" numFmtId="0" xfId="0" applyAlignment="1" applyBorder="1" applyFont="1">
      <alignment horizontal="left" shrinkToFit="0" vertical="center" wrapText="1"/>
    </xf>
    <xf borderId="56" fillId="0" fontId="4" numFmtId="0" xfId="0" applyAlignment="1" applyBorder="1" applyFont="1">
      <alignment horizontal="left" vertical="center"/>
    </xf>
    <xf borderId="57" fillId="0" fontId="2" numFmtId="0" xfId="0" applyAlignment="1" applyBorder="1" applyFont="1">
      <alignment horizontal="left" readingOrder="0" shrinkToFit="0" vertical="center" wrapText="1"/>
    </xf>
    <xf borderId="58" fillId="0" fontId="2" numFmtId="0" xfId="0" applyAlignment="1" applyBorder="1" applyFont="1">
      <alignment horizontal="left" readingOrder="0" vertical="center"/>
    </xf>
    <xf borderId="2" fillId="0" fontId="4" numFmtId="0" xfId="0" applyAlignment="1" applyBorder="1" applyFont="1">
      <alignment horizontal="left" vertical="center"/>
    </xf>
    <xf borderId="59" fillId="0" fontId="4" numFmtId="0" xfId="0" applyAlignment="1" applyBorder="1" applyFont="1">
      <alignment horizontal="left" vertical="center"/>
    </xf>
    <xf borderId="60" fillId="6" fontId="2" numFmtId="0" xfId="0" applyAlignment="1" applyBorder="1" applyFont="1">
      <alignment horizontal="center" readingOrder="0" vertical="center"/>
    </xf>
    <xf borderId="1" fillId="0" fontId="2" numFmtId="3" xfId="0" applyAlignment="1" applyBorder="1" applyFont="1" applyNumberFormat="1">
      <alignment horizontal="center" readingOrder="0" vertical="center"/>
    </xf>
    <xf borderId="2" fillId="0" fontId="28" numFmtId="0" xfId="0" applyAlignment="1" applyBorder="1" applyFont="1">
      <alignment readingOrder="0"/>
    </xf>
    <xf borderId="49" fillId="7" fontId="27" numFmtId="0" xfId="0" applyAlignment="1" applyBorder="1" applyFont="1">
      <alignment horizontal="center" readingOrder="0" vertical="center"/>
    </xf>
    <xf borderId="49" fillId="10" fontId="2" numFmtId="0" xfId="0" applyAlignment="1" applyBorder="1" applyFill="1" applyFont="1">
      <alignment horizontal="center" readingOrder="0" vertical="center"/>
    </xf>
    <xf borderId="60" fillId="0" fontId="3" numFmtId="0" xfId="0" applyBorder="1" applyFont="1"/>
    <xf borderId="61" fillId="0" fontId="3" numFmtId="0" xfId="0" applyBorder="1" applyFont="1"/>
    <xf borderId="49" fillId="11" fontId="28" numFmtId="0" xfId="0" applyAlignment="1" applyBorder="1" applyFill="1" applyFont="1">
      <alignment horizontal="center" readingOrder="0" vertical="center"/>
    </xf>
    <xf borderId="2" fillId="0" fontId="28" numFmtId="0" xfId="0" applyBorder="1" applyFont="1"/>
    <xf borderId="10" fillId="12" fontId="27" numFmtId="0" xfId="0" applyAlignment="1" applyBorder="1" applyFill="1" applyFont="1">
      <alignment horizontal="center" readingOrder="0" vertical="center"/>
    </xf>
    <xf borderId="50" fillId="3" fontId="2" numFmtId="0" xfId="0" applyAlignment="1" applyBorder="1" applyFont="1">
      <alignment horizontal="center" readingOrder="0" vertical="center"/>
    </xf>
    <xf borderId="1" fillId="0" fontId="29" numFmtId="0" xfId="0" applyAlignment="1" applyBorder="1" applyFont="1">
      <alignment horizontal="left" readingOrder="0" shrinkToFit="0" vertical="center" wrapText="0"/>
    </xf>
    <xf borderId="13" fillId="13" fontId="27" numFmtId="0" xfId="0" applyAlignment="1" applyBorder="1" applyFill="1" applyFont="1">
      <alignment horizontal="center" readingOrder="0" vertical="center"/>
    </xf>
    <xf borderId="60" fillId="8" fontId="2" numFmtId="0" xfId="0" applyAlignment="1" applyBorder="1" applyFont="1">
      <alignment horizontal="center" readingOrder="0" vertical="center"/>
    </xf>
    <xf borderId="49" fillId="8" fontId="2" numFmtId="0" xfId="0" applyAlignment="1" applyBorder="1" applyFont="1">
      <alignment horizontal="center" readingOrder="0" vertical="center"/>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営業全体評価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'営業評価シート'!$H$2:$H$15</c:f>
            </c:strRef>
          </c:cat>
          <c:val>
            <c:numRef>
              <c:f>'営業評価シート'!$H$2:$H$15</c:f>
              <c:numCache/>
            </c:numRef>
          </c:val>
        </c:ser>
        <c:axId val="1813027247"/>
        <c:axId val="621978703"/>
      </c:radarChart>
      <c:catAx>
        <c:axId val="18130272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21978703"/>
      </c:catAx>
      <c:valAx>
        <c:axId val="621978703"/>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3027247"/>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商談評価</a:t>
            </a:r>
          </a:p>
        </c:rich>
      </c:tx>
      <c:layout>
        <c:manualLayout>
          <c:xMode val="edge"/>
          <c:yMode val="edge"/>
          <c:x val="0.03807234620305572"/>
          <c:y val="0.050360104821191284"/>
        </c:manualLayout>
      </c:layout>
      <c:overlay val="0"/>
    </c:title>
    <c:plotArea>
      <c:layout/>
      <c:radarChart>
        <c:radarStyle val="marker"/>
        <c:ser>
          <c:idx val="0"/>
          <c:order val="0"/>
          <c:spPr>
            <a:ln cmpd="sng" w="19050">
              <a:solidFill>
                <a:srgbClr val="4285F4"/>
              </a:solidFill>
            </a:ln>
          </c:spPr>
          <c:marker>
            <c:symbol val="circle"/>
            <c:size val="10"/>
            <c:spPr>
              <a:solidFill>
                <a:srgbClr val="4285F4"/>
              </a:solidFill>
              <a:ln cmpd="sng">
                <a:solidFill>
                  <a:srgbClr val="4285F4"/>
                </a:solidFill>
              </a:ln>
            </c:spPr>
          </c:marker>
          <c:cat>
            <c:strRef>
              <c:f>'営業評価シート'!$H$20:$H$31</c:f>
            </c:strRef>
          </c:cat>
          <c:val>
            <c:numRef>
              <c:f>'営業評価シート'!$H$20:$H$31</c:f>
              <c:numCache/>
            </c:numRef>
          </c:val>
        </c:ser>
        <c:axId val="625825951"/>
        <c:axId val="1400911075"/>
      </c:radarChart>
      <c:catAx>
        <c:axId val="6258259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0911075"/>
      </c:catAx>
      <c:valAx>
        <c:axId val="1400911075"/>
        <c:scaling>
          <c:orientation val="minMax"/>
          <c:max val="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5825951"/>
      </c:valAx>
    </c:plotArea>
    <c:legend>
      <c:legendPos val="r"/>
      <c:overlay val="0"/>
      <c:txPr>
        <a:bodyPr/>
        <a:lstStyle/>
        <a:p>
          <a:pPr lvl="0">
            <a:defRPr b="0">
              <a:solidFill>
                <a:srgbClr val="1A1A1A"/>
              </a:solidFill>
              <a:latin typeface="+mn-lt"/>
            </a:defRPr>
          </a:pPr>
        </a:p>
      </c:txPr>
    </c:legend>
    <c:plotVisOnly val="0"/>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xdr:colOff>
      <xdr:row>0</xdr:row>
      <xdr:rowOff>76200</xdr:rowOff>
    </xdr:from>
    <xdr:ext cx="4257675" cy="33051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xdr:colOff>
      <xdr:row>16</xdr:row>
      <xdr:rowOff>38100</xdr:rowOff>
    </xdr:from>
    <xdr:ext cx="4257675" cy="293370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790575</xdr:colOff>
      <xdr:row>12</xdr:row>
      <xdr:rowOff>142875</xdr:rowOff>
    </xdr:from>
    <xdr:ext cx="866775" cy="381000"/>
    <xdr:sp>
      <xdr:nvSpPr>
        <xdr:cNvPr id="3" name="Shape 3"/>
        <xdr:cNvSpPr txBox="1"/>
      </xdr:nvSpPr>
      <xdr:spPr>
        <a:xfrm>
          <a:off x="2411475" y="833225"/>
          <a:ext cx="848100" cy="365700"/>
        </a:xfrm>
        <a:prstGeom prst="rect">
          <a:avLst/>
        </a:prstGeom>
        <a:solidFill>
          <a:srgbClr val="FFFF00"/>
        </a:solidFill>
        <a:ln cap="flat" cmpd="sng" w="9525">
          <a:solidFill>
            <a:srgbClr val="FFFF00"/>
          </a:solidFill>
          <a:prstDash val="solid"/>
          <a:round/>
          <a:headEnd len="sm" w="sm" type="none"/>
          <a:tailEnd len="sm" w="sm" type="none"/>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営業人間力</a:t>
          </a:r>
          <a:endParaRPr b="1" sz="1000"/>
        </a:p>
      </xdr:txBody>
    </xdr:sp>
    <xdr:clientData fLocksWithSheet="0"/>
  </xdr:oneCellAnchor>
  <xdr:oneCellAnchor>
    <xdr:from>
      <xdr:col>4</xdr:col>
      <xdr:colOff>428625</xdr:colOff>
      <xdr:row>13</xdr:row>
      <xdr:rowOff>38100</xdr:rowOff>
    </xdr:from>
    <xdr:ext cx="866775" cy="285750"/>
    <xdr:sp>
      <xdr:nvSpPr>
        <xdr:cNvPr id="4" name="Shape 4"/>
        <xdr:cNvSpPr txBox="1"/>
      </xdr:nvSpPr>
      <xdr:spPr>
        <a:xfrm>
          <a:off x="2411475" y="833225"/>
          <a:ext cx="1119600" cy="382200"/>
        </a:xfrm>
        <a:prstGeom prst="rect">
          <a:avLst/>
        </a:prstGeom>
        <a:solidFill>
          <a:srgbClr val="F4CCCC"/>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商談対応力</a:t>
          </a:r>
          <a:endParaRPr b="1" sz="1400"/>
        </a:p>
      </xdr:txBody>
    </xdr:sp>
    <xdr:clientData fLocksWithSheet="0"/>
  </xdr:oneCellAnchor>
  <xdr:oneCellAnchor>
    <xdr:from>
      <xdr:col>4</xdr:col>
      <xdr:colOff>409575</xdr:colOff>
      <xdr:row>4</xdr:row>
      <xdr:rowOff>9525</xdr:rowOff>
    </xdr:from>
    <xdr:ext cx="714375" cy="342900"/>
    <xdr:sp>
      <xdr:nvSpPr>
        <xdr:cNvPr id="5" name="Shape 5"/>
        <xdr:cNvSpPr txBox="1"/>
      </xdr:nvSpPr>
      <xdr:spPr>
        <a:xfrm>
          <a:off x="2744775" y="803825"/>
          <a:ext cx="778500" cy="354600"/>
        </a:xfrm>
        <a:prstGeom prst="rect">
          <a:avLst/>
        </a:prstGeom>
        <a:solidFill>
          <a:srgbClr val="D9EAD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商談後</a:t>
          </a:r>
          <a:endParaRPr b="1" sz="1400"/>
        </a:p>
      </xdr:txBody>
    </xdr:sp>
    <xdr:clientData fLocksWithSheet="0"/>
  </xdr:oneCellAnchor>
  <xdr:oneCellAnchor>
    <xdr:from>
      <xdr:col>4</xdr:col>
      <xdr:colOff>1962150</xdr:colOff>
      <xdr:row>0</xdr:row>
      <xdr:rowOff>123825</xdr:rowOff>
    </xdr:from>
    <xdr:ext cx="714375" cy="381000"/>
    <xdr:sp>
      <xdr:nvSpPr>
        <xdr:cNvPr id="6" name="Shape 6"/>
        <xdr:cNvSpPr txBox="1"/>
      </xdr:nvSpPr>
      <xdr:spPr>
        <a:xfrm>
          <a:off x="4178725" y="1422125"/>
          <a:ext cx="698100" cy="359400"/>
        </a:xfrm>
        <a:prstGeom prst="rect">
          <a:avLst/>
        </a:prstGeom>
        <a:solidFill>
          <a:srgbClr val="D9D2E9"/>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000"/>
            <a:t>商談前IS</a:t>
          </a:r>
          <a:endParaRPr b="1" sz="1000"/>
        </a:p>
      </xdr:txBody>
    </xdr:sp>
    <xdr:clientData fLocksWithSheet="0"/>
  </xdr:oneCellAnchor>
  <xdr:oneCellAnchor>
    <xdr:from>
      <xdr:col>5</xdr:col>
      <xdr:colOff>952500</xdr:colOff>
      <xdr:row>3</xdr:row>
      <xdr:rowOff>171450</xdr:rowOff>
    </xdr:from>
    <xdr:ext cx="866775" cy="381000"/>
    <xdr:sp>
      <xdr:nvSpPr>
        <xdr:cNvPr id="7" name="Shape 7"/>
        <xdr:cNvSpPr txBox="1"/>
      </xdr:nvSpPr>
      <xdr:spPr>
        <a:xfrm>
          <a:off x="2646750" y="1235150"/>
          <a:ext cx="1009200" cy="439500"/>
        </a:xfrm>
        <a:prstGeom prst="rect">
          <a:avLst/>
        </a:prstGeom>
        <a:solidFill>
          <a:srgbClr val="D0E0E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商談態勢</a:t>
          </a:r>
          <a:endParaRPr b="1" sz="1400"/>
        </a:p>
      </xdr:txBody>
    </xdr:sp>
    <xdr:clientData fLocksWithSheet="0"/>
  </xdr:oneCellAnchor>
  <xdr:oneCellAnchor>
    <xdr:from>
      <xdr:col>0</xdr:col>
      <xdr:colOff>1285875</xdr:colOff>
      <xdr:row>19</xdr:row>
      <xdr:rowOff>190500</xdr:rowOff>
    </xdr:from>
    <xdr:ext cx="1552575" cy="2171700"/>
    <xdr:grpSp>
      <xdr:nvGrpSpPr>
        <xdr:cNvPr id="2" name="Shape 2" title="図形描画"/>
        <xdr:cNvGrpSpPr/>
      </xdr:nvGrpSpPr>
      <xdr:grpSpPr>
        <a:xfrm>
          <a:off x="4667850" y="3179125"/>
          <a:ext cx="2856300" cy="3986900"/>
          <a:chOff x="4667850" y="3179125"/>
          <a:chExt cx="2856300" cy="3986900"/>
        </a:xfrm>
      </xdr:grpSpPr>
      <xdr:sp>
        <xdr:nvSpPr>
          <xdr:cNvPr id="8" name="Shape 8"/>
          <xdr:cNvSpPr/>
        </xdr:nvSpPr>
        <xdr:spPr>
          <a:xfrm>
            <a:off x="4920750" y="3179125"/>
            <a:ext cx="2350500" cy="22911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9" name="Shape 9"/>
          <xdr:cNvSpPr/>
        </xdr:nvSpPr>
        <xdr:spPr>
          <a:xfrm>
            <a:off x="4667850" y="5658525"/>
            <a:ext cx="2856300" cy="1507500"/>
          </a:xfrm>
          <a:prstGeom prst="snip2SameRect">
            <a:avLst>
              <a:gd fmla="val 16667" name="adj1"/>
              <a:gd fmla="val 0"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xdr:nvSpPr>
        <xdr:spPr>
          <a:xfrm>
            <a:off x="6739075" y="6055225"/>
            <a:ext cx="386700" cy="3669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6778675" y="5990725"/>
            <a:ext cx="307500" cy="495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000"/>
              <a:t>社章</a:t>
            </a:r>
            <a:endParaRPr sz="1000"/>
          </a:p>
        </xdr:txBody>
      </xdr:sp>
    </xdr:grpSp>
    <xdr:clientData fLocksWithSheet="0"/>
  </xdr:oneCellAnchor>
  <xdr:oneCellAnchor>
    <xdr:from>
      <xdr:col>4</xdr:col>
      <xdr:colOff>1990725</xdr:colOff>
      <xdr:row>16</xdr:row>
      <xdr:rowOff>133350</xdr:rowOff>
    </xdr:from>
    <xdr:ext cx="657225" cy="495300"/>
    <xdr:sp>
      <xdr:nvSpPr>
        <xdr:cNvPr id="12" name="Shape 12"/>
        <xdr:cNvSpPr txBox="1"/>
      </xdr:nvSpPr>
      <xdr:spPr>
        <a:xfrm>
          <a:off x="3228250" y="1979100"/>
          <a:ext cx="638700" cy="475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冒頭</a:t>
          </a:r>
          <a:endParaRPr b="1" sz="1400"/>
        </a:p>
      </xdr:txBody>
    </xdr:sp>
    <xdr:clientData fLocksWithSheet="0"/>
  </xdr:oneCellAnchor>
  <xdr:oneCellAnchor>
    <xdr:from>
      <xdr:col>4</xdr:col>
      <xdr:colOff>2343150</xdr:colOff>
      <xdr:row>27</xdr:row>
      <xdr:rowOff>190500</xdr:rowOff>
    </xdr:from>
    <xdr:ext cx="1104900" cy="571500"/>
    <xdr:sp>
      <xdr:nvSpPr>
        <xdr:cNvPr id="13" name="Shape 13"/>
        <xdr:cNvSpPr txBox="1"/>
      </xdr:nvSpPr>
      <xdr:spPr>
        <a:xfrm>
          <a:off x="3416675" y="1532800"/>
          <a:ext cx="1083900" cy="5478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サービス</a:t>
          </a:r>
          <a:endParaRPr b="1" sz="1400"/>
        </a:p>
        <a:p>
          <a:pPr indent="0" lvl="0" marL="0" rtl="0" algn="ctr">
            <a:spcBef>
              <a:spcPts val="0"/>
            </a:spcBef>
            <a:spcAft>
              <a:spcPts val="0"/>
            </a:spcAft>
            <a:buNone/>
          </a:pPr>
          <a:r>
            <a:rPr b="1" lang="en-US" sz="1400"/>
            <a:t>説明</a:t>
          </a:r>
          <a:endParaRPr b="1" sz="1400"/>
        </a:p>
      </xdr:txBody>
    </xdr:sp>
    <xdr:clientData fLocksWithSheet="0"/>
  </xdr:oneCellAnchor>
  <xdr:oneCellAnchor>
    <xdr:from>
      <xdr:col>4</xdr:col>
      <xdr:colOff>161925</xdr:colOff>
      <xdr:row>22</xdr:row>
      <xdr:rowOff>19050</xdr:rowOff>
    </xdr:from>
    <xdr:ext cx="1400175" cy="419100"/>
    <xdr:sp>
      <xdr:nvSpPr>
        <xdr:cNvPr id="14" name="Shape 14"/>
        <xdr:cNvSpPr txBox="1"/>
      </xdr:nvSpPr>
      <xdr:spPr>
        <a:xfrm>
          <a:off x="1735575" y="1824850"/>
          <a:ext cx="13845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400"/>
            <a:t>クロージング</a:t>
          </a:r>
          <a:endParaRPr b="1" sz="1400"/>
        </a:p>
      </xdr:txBody>
    </xdr:sp>
    <xdr:clientData fLocksWithSheet="0"/>
  </xdr:oneCellAnchor>
  <xdr:oneCellAnchor>
    <xdr:from>
      <xdr:col>5</xdr:col>
      <xdr:colOff>447675</xdr:colOff>
      <xdr:row>22</xdr:row>
      <xdr:rowOff>19050</xdr:rowOff>
    </xdr:from>
    <xdr:ext cx="1876425" cy="390525"/>
    <xdr:sp>
      <xdr:nvSpPr>
        <xdr:cNvPr id="15" name="Shape 15"/>
        <xdr:cNvSpPr txBox="1"/>
      </xdr:nvSpPr>
      <xdr:spPr>
        <a:xfrm>
          <a:off x="3416675" y="1532800"/>
          <a:ext cx="1854600" cy="3669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b="1" lang="en-US" sz="1400"/>
            <a:t>質問</a:t>
          </a:r>
          <a:endParaRPr b="1" sz="14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awaoffice.jp/wawawork/bant/"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showGridLines="0" workbookViewId="0"/>
  </sheetViews>
  <sheetFormatPr customHeight="1" defaultColWidth="12.63" defaultRowHeight="15.75" outlineLevelCol="1"/>
  <cols>
    <col customWidth="1" min="1" max="1" width="18.0"/>
    <col customWidth="1" min="2" max="2" width="12.75"/>
    <col customWidth="1" min="3" max="3" width="4.0"/>
    <col customWidth="1" min="4" max="4" width="21.38"/>
    <col customWidth="1" min="5" max="5" width="32.75"/>
    <col customWidth="1" min="6" max="6" width="27.13"/>
    <col collapsed="1" customWidth="1" min="7" max="7" width="5.38"/>
    <col customWidth="1" hidden="1" min="8" max="8" width="8.13" outlineLevel="1"/>
    <col customWidth="1" min="9" max="10" width="25.88"/>
  </cols>
  <sheetData>
    <row r="1" ht="29.25" customHeight="1">
      <c r="A1" s="1" t="s">
        <v>0</v>
      </c>
      <c r="B1" s="2"/>
      <c r="C1" s="3"/>
      <c r="D1" s="4"/>
      <c r="E1" s="5"/>
      <c r="F1" s="6"/>
      <c r="G1" s="7"/>
      <c r="H1" s="7"/>
      <c r="I1" s="8" t="s">
        <v>1</v>
      </c>
      <c r="J1" s="9"/>
    </row>
    <row r="2">
      <c r="A2" s="10" t="s">
        <v>2</v>
      </c>
      <c r="B2" s="11"/>
      <c r="C2" s="3"/>
      <c r="D2" s="4"/>
      <c r="E2" s="5"/>
      <c r="F2" s="12" t="s">
        <v>3</v>
      </c>
      <c r="G2" s="13"/>
      <c r="H2" s="14">
        <f>sum(H72:H81)/10*100</f>
        <v>45</v>
      </c>
      <c r="I2" s="15" t="s">
        <v>4</v>
      </c>
      <c r="J2" s="16" t="s">
        <v>5</v>
      </c>
    </row>
    <row r="3">
      <c r="A3" s="10" t="s">
        <v>6</v>
      </c>
      <c r="B3" s="11"/>
      <c r="C3" s="3"/>
      <c r="D3" s="4"/>
      <c r="E3" s="5"/>
      <c r="F3" s="12" t="s">
        <v>7</v>
      </c>
      <c r="H3" s="17">
        <f>SUM(H83:H104)/22*100</f>
        <v>50</v>
      </c>
      <c r="I3" s="18"/>
      <c r="J3" s="18"/>
    </row>
    <row r="4">
      <c r="A4" s="10" t="s">
        <v>8</v>
      </c>
      <c r="B4" s="19"/>
      <c r="C4" s="3"/>
      <c r="D4" s="4"/>
      <c r="E4" s="5"/>
      <c r="F4" s="20" t="s">
        <v>9</v>
      </c>
      <c r="G4" s="13"/>
      <c r="H4" s="14">
        <f>SUM(H105:H129)/25*100</f>
        <v>68</v>
      </c>
      <c r="I4" s="21"/>
      <c r="J4" s="21"/>
    </row>
    <row r="5">
      <c r="A5" s="10" t="s">
        <v>10</v>
      </c>
      <c r="B5" s="19"/>
      <c r="C5" s="3"/>
      <c r="D5" s="4"/>
      <c r="E5" s="5"/>
      <c r="F5" s="22"/>
      <c r="G5" s="23"/>
      <c r="H5" s="24"/>
      <c r="I5" s="21"/>
      <c r="J5" s="21"/>
    </row>
    <row r="6">
      <c r="A6" s="10" t="s">
        <v>11</v>
      </c>
      <c r="B6" s="11"/>
      <c r="C6" s="3"/>
      <c r="D6" s="4"/>
      <c r="E6" s="5"/>
      <c r="F6" s="12" t="s">
        <v>12</v>
      </c>
      <c r="G6" s="13"/>
      <c r="H6" s="14">
        <f>SUM(H130:H160)/31*100</f>
        <v>66.12903226</v>
      </c>
      <c r="I6" s="21"/>
      <c r="J6" s="21"/>
    </row>
    <row r="7">
      <c r="A7" s="10" t="s">
        <v>13</v>
      </c>
      <c r="B7" s="25"/>
      <c r="C7" s="3"/>
      <c r="D7" s="4"/>
      <c r="E7" s="5"/>
      <c r="F7" s="12" t="s">
        <v>14</v>
      </c>
      <c r="G7" s="13"/>
      <c r="H7" s="14">
        <f>SUM(H162:H172)/11*100</f>
        <v>63.63636364</v>
      </c>
      <c r="I7" s="21"/>
      <c r="J7" s="21"/>
    </row>
    <row r="8">
      <c r="A8" s="10" t="s">
        <v>15</v>
      </c>
      <c r="B8" s="11"/>
      <c r="C8" s="3"/>
      <c r="D8" s="4"/>
      <c r="E8" s="5"/>
      <c r="F8" s="12"/>
      <c r="G8" s="13"/>
      <c r="H8" s="14"/>
      <c r="I8" s="21"/>
      <c r="J8" s="21"/>
    </row>
    <row r="9">
      <c r="A9" s="26" t="s">
        <v>16</v>
      </c>
      <c r="B9" s="27"/>
      <c r="C9" s="3"/>
      <c r="D9" s="4"/>
      <c r="E9" s="5"/>
      <c r="F9" s="12"/>
      <c r="G9" s="13"/>
      <c r="H9" s="14"/>
      <c r="I9" s="21"/>
      <c r="J9" s="21"/>
    </row>
    <row r="10" ht="25.5" customHeight="1">
      <c r="A10" s="28" t="s">
        <v>17</v>
      </c>
      <c r="B10" s="29">
        <f>SUM(B11:D15)/500*100</f>
        <v>58.55307918</v>
      </c>
      <c r="C10" s="3"/>
      <c r="D10" s="4"/>
      <c r="E10" s="5"/>
      <c r="F10" s="12"/>
      <c r="G10" s="13"/>
      <c r="H10" s="14"/>
      <c r="I10" s="21"/>
      <c r="J10" s="21"/>
    </row>
    <row r="11">
      <c r="A11" s="30" t="s">
        <v>18</v>
      </c>
      <c r="B11" s="31">
        <f t="shared" ref="B11:B13" si="1">H2</f>
        <v>45</v>
      </c>
      <c r="C11" s="3"/>
      <c r="D11" s="4"/>
      <c r="E11" s="5"/>
      <c r="F11" s="6"/>
      <c r="G11" s="13"/>
      <c r="H11" s="14"/>
      <c r="I11" s="21"/>
      <c r="J11" s="21"/>
    </row>
    <row r="12">
      <c r="A12" s="32" t="s">
        <v>19</v>
      </c>
      <c r="B12" s="31">
        <f t="shared" si="1"/>
        <v>50</v>
      </c>
      <c r="C12" s="3"/>
      <c r="D12" s="4"/>
      <c r="E12" s="5"/>
      <c r="F12" s="33"/>
      <c r="G12" s="13"/>
      <c r="H12" s="14"/>
      <c r="I12" s="21"/>
      <c r="J12" s="21"/>
    </row>
    <row r="13">
      <c r="A13" s="34" t="s">
        <v>20</v>
      </c>
      <c r="B13" s="31">
        <f t="shared" si="1"/>
        <v>68</v>
      </c>
      <c r="C13" s="3"/>
      <c r="D13" s="4"/>
      <c r="E13" s="13"/>
      <c r="F13" s="35"/>
      <c r="G13" s="23"/>
      <c r="H13" s="23"/>
      <c r="I13" s="21"/>
      <c r="J13" s="21"/>
    </row>
    <row r="14">
      <c r="A14" s="36" t="s">
        <v>21</v>
      </c>
      <c r="B14" s="31">
        <f t="shared" ref="B14:B15" si="2">H6</f>
        <v>66.12903226</v>
      </c>
      <c r="C14" s="3"/>
      <c r="D14" s="4"/>
      <c r="E14" s="13"/>
      <c r="F14" s="22"/>
      <c r="G14" s="23"/>
      <c r="H14" s="23"/>
      <c r="I14" s="21"/>
      <c r="J14" s="21"/>
    </row>
    <row r="15">
      <c r="A15" s="37" t="s">
        <v>22</v>
      </c>
      <c r="B15" s="31">
        <f t="shared" si="2"/>
        <v>63.63636364</v>
      </c>
      <c r="C15" s="3"/>
      <c r="D15" s="4"/>
      <c r="E15" s="13"/>
      <c r="F15" s="22"/>
      <c r="G15" s="23"/>
      <c r="H15" s="23"/>
      <c r="I15" s="21"/>
      <c r="J15" s="21"/>
    </row>
    <row r="16">
      <c r="A16" s="38" t="s">
        <v>23</v>
      </c>
      <c r="B16" s="3"/>
      <c r="C16" s="3"/>
      <c r="D16" s="4"/>
      <c r="E16" s="39"/>
      <c r="F16" s="22"/>
      <c r="G16" s="40"/>
      <c r="H16" s="23"/>
      <c r="I16" s="41"/>
      <c r="J16" s="41"/>
    </row>
    <row r="17">
      <c r="A17" s="42"/>
      <c r="B17" s="43"/>
      <c r="C17" s="43"/>
      <c r="D17" s="44"/>
      <c r="E17" s="45"/>
      <c r="F17" s="22"/>
      <c r="G17" s="40"/>
      <c r="H17" s="23"/>
      <c r="I17" s="46" t="s">
        <v>24</v>
      </c>
      <c r="J17" s="47" t="s">
        <v>5</v>
      </c>
    </row>
    <row r="18">
      <c r="A18" s="48"/>
      <c r="D18" s="49"/>
      <c r="E18" s="45"/>
      <c r="F18" s="22"/>
      <c r="G18" s="40"/>
      <c r="H18" s="23"/>
      <c r="I18" s="18"/>
      <c r="J18" s="18"/>
    </row>
    <row r="19">
      <c r="A19" s="48"/>
      <c r="D19" s="49"/>
      <c r="E19" s="45"/>
      <c r="F19" s="35" t="s">
        <v>25</v>
      </c>
      <c r="G19" s="40"/>
      <c r="H19" s="23"/>
      <c r="I19" s="21"/>
      <c r="J19" s="21"/>
    </row>
    <row r="20">
      <c r="A20" s="48"/>
      <c r="D20" s="49"/>
      <c r="E20" s="45"/>
      <c r="F20" s="35" t="s">
        <v>26</v>
      </c>
      <c r="G20" s="13"/>
      <c r="H20" s="14">
        <f>SUM(H130:H134)/5*100</f>
        <v>50</v>
      </c>
      <c r="I20" s="21"/>
      <c r="J20" s="21"/>
    </row>
    <row r="21">
      <c r="A21" s="48"/>
      <c r="D21" s="49"/>
      <c r="E21" s="45"/>
      <c r="F21" s="35" t="s">
        <v>27</v>
      </c>
      <c r="G21" s="13"/>
      <c r="H21" s="14">
        <f>SUM(H135:H139)/5*100</f>
        <v>80</v>
      </c>
      <c r="I21" s="21"/>
      <c r="J21" s="21"/>
    </row>
    <row r="22">
      <c r="A22" s="48"/>
      <c r="D22" s="49"/>
      <c r="E22" s="45"/>
      <c r="F22" s="35" t="s">
        <v>28</v>
      </c>
      <c r="G22" s="13"/>
      <c r="H22" s="14">
        <f>SUM(H140:H152)/13*100</f>
        <v>65.38461538</v>
      </c>
      <c r="I22" s="21"/>
      <c r="J22" s="21"/>
    </row>
    <row r="23">
      <c r="A23" s="48"/>
      <c r="D23" s="49"/>
      <c r="E23" s="45"/>
      <c r="F23" s="35" t="s">
        <v>29</v>
      </c>
      <c r="G23" s="13"/>
      <c r="H23" s="14">
        <f>SUM(H153:H160)/8*100</f>
        <v>68.75</v>
      </c>
      <c r="I23" s="21"/>
      <c r="J23" s="21"/>
    </row>
    <row r="24">
      <c r="A24" s="48"/>
      <c r="D24" s="49"/>
      <c r="E24" s="45"/>
      <c r="F24" s="35" t="s">
        <v>30</v>
      </c>
      <c r="G24" s="50"/>
      <c r="H24" s="14"/>
      <c r="I24" s="21"/>
      <c r="J24" s="21"/>
    </row>
    <row r="25">
      <c r="A25" s="48"/>
      <c r="D25" s="49"/>
      <c r="E25" s="45"/>
      <c r="F25" s="22"/>
      <c r="G25" s="40"/>
      <c r="H25" s="23"/>
      <c r="I25" s="21"/>
      <c r="J25" s="21"/>
    </row>
    <row r="26">
      <c r="A26" s="48"/>
      <c r="D26" s="49"/>
      <c r="E26" s="39"/>
      <c r="F26" s="22"/>
      <c r="G26" s="40"/>
      <c r="H26" s="23"/>
      <c r="I26" s="21"/>
      <c r="J26" s="21"/>
    </row>
    <row r="27">
      <c r="A27" s="48"/>
      <c r="D27" s="49"/>
      <c r="E27" s="39"/>
      <c r="F27" s="22"/>
      <c r="G27" s="40"/>
      <c r="H27" s="23"/>
      <c r="I27" s="21"/>
      <c r="J27" s="21"/>
    </row>
    <row r="28">
      <c r="A28" s="48"/>
      <c r="D28" s="49"/>
      <c r="E28" s="39"/>
      <c r="F28" s="22"/>
      <c r="G28" s="40"/>
      <c r="H28" s="23"/>
      <c r="I28" s="21"/>
      <c r="J28" s="21"/>
    </row>
    <row r="29">
      <c r="A29" s="48"/>
      <c r="D29" s="49"/>
      <c r="E29" s="39"/>
      <c r="F29" s="22"/>
      <c r="G29" s="40"/>
      <c r="H29" s="23"/>
      <c r="I29" s="21"/>
      <c r="J29" s="21"/>
    </row>
    <row r="30">
      <c r="A30" s="48"/>
      <c r="D30" s="49"/>
      <c r="E30" s="39"/>
      <c r="F30" s="22"/>
      <c r="G30" s="40"/>
      <c r="H30" s="23"/>
      <c r="I30" s="21"/>
      <c r="J30" s="21"/>
    </row>
    <row r="31">
      <c r="A31" s="51"/>
      <c r="B31" s="52"/>
      <c r="C31" s="52"/>
      <c r="D31" s="53"/>
      <c r="E31" s="39"/>
      <c r="F31" s="22"/>
      <c r="G31" s="40"/>
      <c r="H31" s="23"/>
      <c r="I31" s="54"/>
      <c r="J31" s="54"/>
    </row>
    <row r="32">
      <c r="A32" s="55"/>
      <c r="B32" s="56"/>
      <c r="C32" s="56"/>
      <c r="D32" s="56"/>
      <c r="E32" s="45"/>
      <c r="F32" s="22"/>
      <c r="G32" s="57"/>
      <c r="H32" s="23"/>
      <c r="I32" s="23"/>
    </row>
    <row r="33">
      <c r="A33" s="58" t="s">
        <v>31</v>
      </c>
      <c r="B33" s="59"/>
      <c r="C33" s="59"/>
      <c r="D33" s="59"/>
      <c r="E33" s="60"/>
      <c r="F33" s="58" t="s">
        <v>32</v>
      </c>
      <c r="G33" s="59"/>
      <c r="H33" s="59"/>
      <c r="I33" s="59"/>
      <c r="J33" s="60"/>
    </row>
    <row r="34">
      <c r="A34" s="61" t="s">
        <v>33</v>
      </c>
      <c r="B34" s="62"/>
      <c r="C34" s="63" t="s">
        <v>34</v>
      </c>
      <c r="D34" s="64"/>
      <c r="E34" s="65"/>
      <c r="F34" s="61" t="s">
        <v>33</v>
      </c>
      <c r="G34" s="62"/>
      <c r="H34" s="63" t="s">
        <v>34</v>
      </c>
      <c r="I34" s="64"/>
      <c r="J34" s="65"/>
    </row>
    <row r="35">
      <c r="A35" s="66" t="s">
        <v>35</v>
      </c>
      <c r="B35" s="67"/>
      <c r="C35" s="68"/>
      <c r="D35" s="69"/>
      <c r="E35" s="70"/>
      <c r="F35" s="66" t="s">
        <v>35</v>
      </c>
      <c r="G35" s="67"/>
      <c r="H35" s="68"/>
      <c r="I35" s="69"/>
      <c r="J35" s="70"/>
    </row>
    <row r="36">
      <c r="A36" s="71" t="s">
        <v>36</v>
      </c>
      <c r="B36" s="72"/>
      <c r="C36" s="73"/>
      <c r="D36" s="74"/>
      <c r="E36" s="75"/>
      <c r="F36" s="71" t="s">
        <v>36</v>
      </c>
      <c r="G36" s="72"/>
      <c r="H36" s="73"/>
      <c r="I36" s="74"/>
      <c r="J36" s="75"/>
    </row>
    <row r="37">
      <c r="A37" s="71" t="s">
        <v>37</v>
      </c>
      <c r="B37" s="72"/>
      <c r="C37" s="73"/>
      <c r="D37" s="74"/>
      <c r="E37" s="75"/>
      <c r="F37" s="71" t="s">
        <v>37</v>
      </c>
      <c r="G37" s="72"/>
      <c r="H37" s="73"/>
      <c r="I37" s="74"/>
      <c r="J37" s="75"/>
    </row>
    <row r="38">
      <c r="A38" s="71" t="s">
        <v>38</v>
      </c>
      <c r="B38" s="72"/>
      <c r="C38" s="73"/>
      <c r="D38" s="74"/>
      <c r="E38" s="75"/>
      <c r="F38" s="71" t="s">
        <v>38</v>
      </c>
      <c r="G38" s="72"/>
      <c r="H38" s="73"/>
      <c r="I38" s="74"/>
      <c r="J38" s="75"/>
    </row>
    <row r="39">
      <c r="A39" s="71" t="s">
        <v>39</v>
      </c>
      <c r="B39" s="72"/>
      <c r="C39" s="73"/>
      <c r="D39" s="74"/>
      <c r="E39" s="75"/>
      <c r="F39" s="71" t="s">
        <v>39</v>
      </c>
      <c r="G39" s="72"/>
      <c r="H39" s="73"/>
      <c r="I39" s="74"/>
      <c r="J39" s="75"/>
    </row>
    <row r="40">
      <c r="A40" s="71" t="s">
        <v>40</v>
      </c>
      <c r="B40" s="72"/>
      <c r="C40" s="73"/>
      <c r="D40" s="74"/>
      <c r="E40" s="75"/>
      <c r="F40" s="71" t="s">
        <v>40</v>
      </c>
      <c r="G40" s="72"/>
      <c r="H40" s="73"/>
      <c r="I40" s="74"/>
      <c r="J40" s="75"/>
    </row>
    <row r="41">
      <c r="A41" s="71" t="s">
        <v>41</v>
      </c>
      <c r="B41" s="72"/>
      <c r="C41" s="73"/>
      <c r="D41" s="74"/>
      <c r="E41" s="75"/>
      <c r="F41" s="71" t="s">
        <v>41</v>
      </c>
      <c r="G41" s="72"/>
      <c r="H41" s="73"/>
      <c r="I41" s="74"/>
      <c r="J41" s="75"/>
    </row>
    <row r="42">
      <c r="A42" s="71" t="s">
        <v>42</v>
      </c>
      <c r="B42" s="72"/>
      <c r="C42" s="73"/>
      <c r="D42" s="74"/>
      <c r="E42" s="75"/>
      <c r="F42" s="71" t="s">
        <v>43</v>
      </c>
      <c r="G42" s="72"/>
      <c r="H42" s="73"/>
      <c r="I42" s="74"/>
      <c r="J42" s="75"/>
    </row>
    <row r="43">
      <c r="A43" s="71" t="s">
        <v>44</v>
      </c>
      <c r="B43" s="72"/>
      <c r="C43" s="73"/>
      <c r="D43" s="74"/>
      <c r="E43" s="75"/>
      <c r="F43" s="71" t="s">
        <v>45</v>
      </c>
      <c r="G43" s="72"/>
      <c r="H43" s="73"/>
      <c r="I43" s="74"/>
      <c r="J43" s="75"/>
    </row>
    <row r="44">
      <c r="A44" s="71" t="s">
        <v>46</v>
      </c>
      <c r="B44" s="72"/>
      <c r="C44" s="73"/>
      <c r="D44" s="74"/>
      <c r="E44" s="75"/>
      <c r="F44" s="71" t="s">
        <v>47</v>
      </c>
      <c r="G44" s="72"/>
      <c r="H44" s="73"/>
      <c r="I44" s="74"/>
      <c r="J44" s="75"/>
    </row>
    <row r="45">
      <c r="A45" s="71" t="s">
        <v>48</v>
      </c>
      <c r="B45" s="72"/>
      <c r="C45" s="73"/>
      <c r="D45" s="74"/>
      <c r="E45" s="75"/>
      <c r="F45" s="71" t="s">
        <v>49</v>
      </c>
      <c r="G45" s="72"/>
      <c r="H45" s="73"/>
      <c r="I45" s="74"/>
      <c r="J45" s="75"/>
    </row>
    <row r="46">
      <c r="A46" s="76" t="s">
        <v>50</v>
      </c>
      <c r="B46" s="77"/>
      <c r="C46" s="78"/>
      <c r="D46" s="79"/>
      <c r="E46" s="80"/>
      <c r="F46" s="76" t="s">
        <v>51</v>
      </c>
      <c r="G46" s="77"/>
      <c r="H46" s="78"/>
      <c r="I46" s="79"/>
      <c r="J46" s="80"/>
    </row>
    <row r="47">
      <c r="A47" s="81"/>
      <c r="B47" s="82"/>
      <c r="C47" s="83"/>
      <c r="D47" s="84"/>
      <c r="E47" s="57"/>
      <c r="F47" s="85"/>
      <c r="G47" s="57"/>
      <c r="H47" s="86"/>
      <c r="I47" s="86"/>
    </row>
    <row r="48">
      <c r="A48" s="87" t="s">
        <v>52</v>
      </c>
      <c r="B48" s="88"/>
      <c r="C48" s="88"/>
      <c r="D48" s="88"/>
      <c r="E48" s="88"/>
      <c r="F48" s="88"/>
      <c r="G48" s="88"/>
      <c r="H48" s="88"/>
      <c r="I48" s="88"/>
      <c r="J48" s="89"/>
    </row>
    <row r="49">
      <c r="A49" s="90"/>
      <c r="B49" s="91"/>
      <c r="C49" s="91"/>
      <c r="D49" s="91"/>
      <c r="E49" s="91"/>
      <c r="F49" s="91"/>
      <c r="G49" s="91"/>
      <c r="H49" s="91"/>
      <c r="I49" s="91"/>
      <c r="J49" s="92"/>
    </row>
    <row r="50" ht="10.5" customHeight="1">
      <c r="A50" s="93"/>
      <c r="B50" s="88"/>
      <c r="C50" s="88"/>
      <c r="D50" s="88"/>
      <c r="E50" s="88"/>
      <c r="F50" s="88"/>
      <c r="G50" s="88"/>
      <c r="H50" s="88"/>
      <c r="I50" s="88"/>
      <c r="J50" s="89"/>
    </row>
    <row r="51" ht="10.5" customHeight="1">
      <c r="A51" s="94"/>
      <c r="J51" s="95"/>
    </row>
    <row r="52" ht="10.5" customHeight="1">
      <c r="A52" s="94"/>
      <c r="J52" s="95"/>
    </row>
    <row r="53" ht="10.5" customHeight="1">
      <c r="A53" s="94"/>
      <c r="J53" s="95"/>
    </row>
    <row r="54" ht="10.5" customHeight="1">
      <c r="A54" s="94"/>
      <c r="J54" s="95"/>
    </row>
    <row r="55" ht="10.5" customHeight="1">
      <c r="A55" s="94"/>
      <c r="J55" s="95"/>
    </row>
    <row r="56" ht="10.5" customHeight="1">
      <c r="A56" s="94"/>
      <c r="J56" s="95"/>
    </row>
    <row r="57" ht="10.5" customHeight="1">
      <c r="A57" s="94"/>
      <c r="J57" s="95"/>
    </row>
    <row r="58" ht="10.5" customHeight="1">
      <c r="A58" s="94"/>
      <c r="J58" s="95"/>
    </row>
    <row r="59" ht="10.5" customHeight="1">
      <c r="A59" s="94"/>
      <c r="J59" s="95"/>
    </row>
    <row r="60" ht="10.5" customHeight="1">
      <c r="A60" s="94"/>
      <c r="J60" s="95"/>
    </row>
    <row r="61" ht="10.5" customHeight="1">
      <c r="A61" s="94"/>
      <c r="J61" s="95"/>
    </row>
    <row r="62" ht="10.5" customHeight="1">
      <c r="A62" s="94"/>
      <c r="J62" s="95"/>
    </row>
    <row r="63" ht="10.5" customHeight="1">
      <c r="A63" s="94"/>
      <c r="J63" s="95"/>
    </row>
    <row r="64" ht="10.5" customHeight="1">
      <c r="A64" s="94"/>
      <c r="J64" s="95"/>
    </row>
    <row r="65" ht="10.5" customHeight="1">
      <c r="A65" s="94"/>
      <c r="J65" s="95"/>
    </row>
    <row r="66" ht="10.5" customHeight="1">
      <c r="A66" s="94"/>
      <c r="J66" s="95"/>
    </row>
    <row r="67" ht="10.5" customHeight="1">
      <c r="A67" s="94"/>
      <c r="J67" s="95"/>
    </row>
    <row r="68" ht="10.5" customHeight="1">
      <c r="A68" s="90"/>
      <c r="B68" s="91"/>
      <c r="C68" s="91"/>
      <c r="D68" s="91"/>
      <c r="E68" s="91"/>
      <c r="F68" s="91"/>
      <c r="G68" s="91"/>
      <c r="H68" s="91"/>
      <c r="I68" s="91"/>
      <c r="J68" s="92"/>
    </row>
    <row r="69">
      <c r="A69" s="86"/>
      <c r="B69" s="82"/>
      <c r="C69" s="86"/>
      <c r="D69" s="85"/>
      <c r="E69" s="85"/>
      <c r="F69" s="85"/>
      <c r="G69" s="57"/>
      <c r="H69" s="86"/>
      <c r="I69" s="86"/>
      <c r="J69" s="86"/>
    </row>
    <row r="70">
      <c r="A70" s="96" t="s">
        <v>33</v>
      </c>
      <c r="B70" s="97" t="s">
        <v>53</v>
      </c>
      <c r="C70" s="96" t="s">
        <v>54</v>
      </c>
      <c r="D70" s="98" t="s">
        <v>34</v>
      </c>
      <c r="E70" s="3"/>
      <c r="F70" s="4"/>
      <c r="G70" s="99" t="s">
        <v>55</v>
      </c>
      <c r="H70" s="99" t="s">
        <v>56</v>
      </c>
      <c r="I70" s="100" t="s">
        <v>57</v>
      </c>
      <c r="J70" s="100" t="s">
        <v>58</v>
      </c>
    </row>
    <row r="71">
      <c r="A71" s="101" t="s">
        <v>59</v>
      </c>
      <c r="B71" s="52"/>
      <c r="C71" s="52"/>
      <c r="D71" s="52"/>
      <c r="E71" s="52"/>
      <c r="F71" s="52"/>
      <c r="G71" s="52"/>
      <c r="H71" s="52"/>
      <c r="I71" s="52"/>
      <c r="J71" s="53"/>
    </row>
    <row r="72">
      <c r="A72" s="102" t="s">
        <v>60</v>
      </c>
      <c r="B72" s="103" t="s">
        <v>61</v>
      </c>
      <c r="C72" s="104">
        <v>1.0</v>
      </c>
      <c r="D72" s="105" t="s">
        <v>62</v>
      </c>
      <c r="E72" s="3"/>
      <c r="F72" s="4"/>
      <c r="G72" s="106" t="s">
        <v>63</v>
      </c>
      <c r="H72" s="107">
        <f t="shared" ref="H72:H81" si="3">IF(G72="〇", 1, IF(G72="△", 0.5, 0))</f>
        <v>1</v>
      </c>
      <c r="I72" s="108" t="s">
        <v>64</v>
      </c>
      <c r="J72" s="109" t="s">
        <v>65</v>
      </c>
    </row>
    <row r="73">
      <c r="A73" s="110"/>
      <c r="B73" s="110"/>
      <c r="C73" s="104">
        <v>2.0</v>
      </c>
      <c r="D73" s="105" t="s">
        <v>66</v>
      </c>
      <c r="E73" s="3"/>
      <c r="F73" s="4"/>
      <c r="G73" s="106" t="s">
        <v>67</v>
      </c>
      <c r="H73" s="107">
        <f t="shared" si="3"/>
        <v>0.5</v>
      </c>
      <c r="I73" s="108" t="s">
        <v>64</v>
      </c>
      <c r="J73" s="111" t="s">
        <v>65</v>
      </c>
    </row>
    <row r="74">
      <c r="A74" s="110"/>
      <c r="B74" s="112"/>
      <c r="C74" s="104">
        <v>3.0</v>
      </c>
      <c r="D74" s="105" t="s">
        <v>68</v>
      </c>
      <c r="E74" s="3"/>
      <c r="F74" s="4"/>
      <c r="G74" s="106" t="s">
        <v>69</v>
      </c>
      <c r="H74" s="107">
        <f t="shared" si="3"/>
        <v>0</v>
      </c>
      <c r="I74" s="108" t="s">
        <v>70</v>
      </c>
      <c r="J74" s="109" t="s">
        <v>71</v>
      </c>
    </row>
    <row r="75">
      <c r="A75" s="110"/>
      <c r="B75" s="103" t="s">
        <v>72</v>
      </c>
      <c r="C75" s="104">
        <v>4.0</v>
      </c>
      <c r="D75" s="105" t="s">
        <v>73</v>
      </c>
      <c r="E75" s="3"/>
      <c r="F75" s="4"/>
      <c r="G75" s="106" t="s">
        <v>63</v>
      </c>
      <c r="H75" s="107">
        <f t="shared" si="3"/>
        <v>1</v>
      </c>
      <c r="I75" s="108" t="s">
        <v>74</v>
      </c>
      <c r="J75" s="113"/>
    </row>
    <row r="76">
      <c r="A76" s="110"/>
      <c r="B76" s="110"/>
      <c r="C76" s="104">
        <v>5.0</v>
      </c>
      <c r="D76" s="105" t="s">
        <v>75</v>
      </c>
      <c r="E76" s="3"/>
      <c r="F76" s="4"/>
      <c r="G76" s="106" t="s">
        <v>67</v>
      </c>
      <c r="H76" s="107">
        <f t="shared" si="3"/>
        <v>0.5</v>
      </c>
      <c r="I76" s="108" t="s">
        <v>76</v>
      </c>
      <c r="J76" s="109" t="s">
        <v>77</v>
      </c>
    </row>
    <row r="77">
      <c r="A77" s="110"/>
      <c r="B77" s="110"/>
      <c r="C77" s="104">
        <v>6.0</v>
      </c>
      <c r="D77" s="105" t="s">
        <v>78</v>
      </c>
      <c r="E77" s="3"/>
      <c r="F77" s="4"/>
      <c r="G77" s="106" t="s">
        <v>69</v>
      </c>
      <c r="H77" s="107">
        <f t="shared" si="3"/>
        <v>0</v>
      </c>
      <c r="I77" s="108" t="s">
        <v>79</v>
      </c>
      <c r="J77" s="109"/>
    </row>
    <row r="78">
      <c r="A78" s="110"/>
      <c r="B78" s="112"/>
      <c r="C78" s="104">
        <v>7.0</v>
      </c>
      <c r="D78" s="105" t="s">
        <v>80</v>
      </c>
      <c r="E78" s="3"/>
      <c r="F78" s="4"/>
      <c r="G78" s="106" t="s">
        <v>63</v>
      </c>
      <c r="H78" s="107">
        <f t="shared" si="3"/>
        <v>1</v>
      </c>
      <c r="I78" s="108" t="s">
        <v>81</v>
      </c>
      <c r="J78" s="109" t="s">
        <v>82</v>
      </c>
    </row>
    <row r="79">
      <c r="A79" s="110"/>
      <c r="B79" s="114" t="s">
        <v>83</v>
      </c>
      <c r="C79" s="115">
        <v>8.0</v>
      </c>
      <c r="D79" s="105" t="s">
        <v>84</v>
      </c>
      <c r="E79" s="3"/>
      <c r="F79" s="4"/>
      <c r="G79" s="106" t="s">
        <v>67</v>
      </c>
      <c r="H79" s="107">
        <f t="shared" si="3"/>
        <v>0.5</v>
      </c>
      <c r="I79" s="108" t="s">
        <v>85</v>
      </c>
      <c r="J79" s="109"/>
    </row>
    <row r="80">
      <c r="A80" s="110"/>
      <c r="B80" s="49"/>
      <c r="C80" s="115">
        <v>9.0</v>
      </c>
      <c r="D80" s="105" t="s">
        <v>86</v>
      </c>
      <c r="E80" s="3"/>
      <c r="F80" s="4"/>
      <c r="G80" s="106" t="s">
        <v>69</v>
      </c>
      <c r="H80" s="107">
        <f t="shared" si="3"/>
        <v>0</v>
      </c>
      <c r="I80" s="108" t="s">
        <v>87</v>
      </c>
      <c r="J80" s="109" t="s">
        <v>88</v>
      </c>
    </row>
    <row r="81">
      <c r="A81" s="112"/>
      <c r="B81" s="49"/>
      <c r="C81" s="115">
        <v>10.0</v>
      </c>
      <c r="D81" s="105" t="s">
        <v>89</v>
      </c>
      <c r="E81" s="3"/>
      <c r="F81" s="4"/>
      <c r="G81" s="106" t="s">
        <v>69</v>
      </c>
      <c r="H81" s="107">
        <f t="shared" si="3"/>
        <v>0</v>
      </c>
      <c r="I81" s="108" t="s">
        <v>90</v>
      </c>
      <c r="J81" s="109" t="s">
        <v>91</v>
      </c>
    </row>
    <row r="82">
      <c r="A82" s="101" t="s">
        <v>92</v>
      </c>
      <c r="B82" s="52"/>
      <c r="C82" s="52"/>
      <c r="D82" s="52"/>
      <c r="E82" s="52"/>
      <c r="F82" s="52"/>
      <c r="G82" s="52"/>
      <c r="H82" s="52"/>
      <c r="I82" s="52"/>
      <c r="J82" s="53"/>
    </row>
    <row r="83">
      <c r="A83" s="116" t="s">
        <v>19</v>
      </c>
      <c r="B83" s="117" t="s">
        <v>93</v>
      </c>
      <c r="C83" s="118">
        <v>1.0</v>
      </c>
      <c r="D83" s="119" t="s">
        <v>94</v>
      </c>
      <c r="E83" s="3"/>
      <c r="F83" s="4"/>
      <c r="G83" s="106" t="s">
        <v>63</v>
      </c>
      <c r="H83" s="107">
        <f t="shared" ref="H83:H160" si="4">IF(G83="〇", 1, IF(G83="△", 0.5, 0))</f>
        <v>1</v>
      </c>
      <c r="I83" s="120"/>
      <c r="J83" s="121"/>
    </row>
    <row r="84">
      <c r="A84" s="48"/>
      <c r="B84" s="110"/>
      <c r="C84" s="118">
        <v>2.0</v>
      </c>
      <c r="D84" s="122" t="s">
        <v>95</v>
      </c>
      <c r="E84" s="3"/>
      <c r="F84" s="4"/>
      <c r="G84" s="106" t="s">
        <v>67</v>
      </c>
      <c r="H84" s="107">
        <f t="shared" si="4"/>
        <v>0.5</v>
      </c>
      <c r="I84" s="123" t="s">
        <v>96</v>
      </c>
      <c r="J84" s="124"/>
    </row>
    <row r="85">
      <c r="A85" s="48"/>
      <c r="B85" s="110"/>
      <c r="C85" s="118">
        <v>3.0</v>
      </c>
      <c r="D85" s="122" t="s">
        <v>97</v>
      </c>
      <c r="E85" s="3"/>
      <c r="F85" s="4"/>
      <c r="G85" s="106" t="s">
        <v>69</v>
      </c>
      <c r="H85" s="107">
        <f t="shared" si="4"/>
        <v>0</v>
      </c>
      <c r="I85" s="123" t="s">
        <v>98</v>
      </c>
      <c r="J85" s="124"/>
    </row>
    <row r="86">
      <c r="A86" s="48"/>
      <c r="B86" s="110"/>
      <c r="C86" s="118">
        <v>4.0</v>
      </c>
      <c r="D86" s="122" t="s">
        <v>99</v>
      </c>
      <c r="E86" s="3"/>
      <c r="F86" s="4"/>
      <c r="G86" s="106" t="s">
        <v>63</v>
      </c>
      <c r="H86" s="107">
        <f t="shared" si="4"/>
        <v>1</v>
      </c>
      <c r="I86" s="125"/>
      <c r="J86" s="126"/>
    </row>
    <row r="87">
      <c r="A87" s="48"/>
      <c r="B87" s="110"/>
      <c r="C87" s="118">
        <v>5.0</v>
      </c>
      <c r="D87" s="122" t="s">
        <v>100</v>
      </c>
      <c r="E87" s="3"/>
      <c r="F87" s="4"/>
      <c r="G87" s="106" t="s">
        <v>67</v>
      </c>
      <c r="H87" s="107">
        <f t="shared" si="4"/>
        <v>0.5</v>
      </c>
      <c r="I87" s="123" t="s">
        <v>101</v>
      </c>
      <c r="J87" s="124"/>
    </row>
    <row r="88">
      <c r="A88" s="48"/>
      <c r="B88" s="110"/>
      <c r="C88" s="118">
        <v>6.0</v>
      </c>
      <c r="D88" s="122" t="s">
        <v>102</v>
      </c>
      <c r="E88" s="3"/>
      <c r="F88" s="4"/>
      <c r="G88" s="106" t="s">
        <v>69</v>
      </c>
      <c r="H88" s="107">
        <f t="shared" si="4"/>
        <v>0</v>
      </c>
      <c r="I88" s="125"/>
      <c r="J88" s="126"/>
    </row>
    <row r="89">
      <c r="A89" s="48"/>
      <c r="B89" s="110"/>
      <c r="C89" s="118">
        <v>7.0</v>
      </c>
      <c r="D89" s="105" t="s">
        <v>103</v>
      </c>
      <c r="E89" s="3"/>
      <c r="F89" s="4"/>
      <c r="G89" s="106" t="s">
        <v>63</v>
      </c>
      <c r="H89" s="107">
        <f t="shared" si="4"/>
        <v>1</v>
      </c>
      <c r="I89" s="125"/>
      <c r="J89" s="126"/>
    </row>
    <row r="90">
      <c r="A90" s="48"/>
      <c r="B90" s="112"/>
      <c r="C90" s="118">
        <v>8.0</v>
      </c>
      <c r="D90" s="105" t="s">
        <v>104</v>
      </c>
      <c r="E90" s="3"/>
      <c r="F90" s="4"/>
      <c r="G90" s="106" t="s">
        <v>67</v>
      </c>
      <c r="H90" s="107">
        <f t="shared" si="4"/>
        <v>0.5</v>
      </c>
      <c r="I90" s="125"/>
      <c r="J90" s="126"/>
    </row>
    <row r="91">
      <c r="A91" s="48"/>
      <c r="B91" s="117" t="s">
        <v>105</v>
      </c>
      <c r="C91" s="118">
        <v>9.0</v>
      </c>
      <c r="D91" s="122" t="s">
        <v>106</v>
      </c>
      <c r="E91" s="3"/>
      <c r="F91" s="4"/>
      <c r="G91" s="106" t="s">
        <v>69</v>
      </c>
      <c r="H91" s="107">
        <f t="shared" si="4"/>
        <v>0</v>
      </c>
      <c r="I91" s="125"/>
      <c r="J91" s="126"/>
    </row>
    <row r="92">
      <c r="A92" s="48"/>
      <c r="B92" s="110"/>
      <c r="C92" s="118">
        <v>10.0</v>
      </c>
      <c r="D92" s="119" t="s">
        <v>107</v>
      </c>
      <c r="E92" s="3"/>
      <c r="F92" s="4"/>
      <c r="G92" s="106" t="s">
        <v>69</v>
      </c>
      <c r="H92" s="107">
        <f t="shared" si="4"/>
        <v>0</v>
      </c>
      <c r="I92" s="125"/>
      <c r="J92" s="126"/>
    </row>
    <row r="93">
      <c r="A93" s="48"/>
      <c r="B93" s="110"/>
      <c r="C93" s="118">
        <v>11.0</v>
      </c>
      <c r="D93" s="119" t="s">
        <v>108</v>
      </c>
      <c r="E93" s="3"/>
      <c r="F93" s="4"/>
      <c r="G93" s="106" t="s">
        <v>63</v>
      </c>
      <c r="H93" s="107">
        <f t="shared" si="4"/>
        <v>1</v>
      </c>
      <c r="I93" s="127"/>
      <c r="J93" s="128"/>
    </row>
    <row r="94">
      <c r="A94" s="48"/>
      <c r="B94" s="110"/>
      <c r="C94" s="118">
        <v>12.0</v>
      </c>
      <c r="D94" s="122" t="s">
        <v>109</v>
      </c>
      <c r="E94" s="3"/>
      <c r="F94" s="4"/>
      <c r="G94" s="106" t="s">
        <v>67</v>
      </c>
      <c r="H94" s="129">
        <f t="shared" si="4"/>
        <v>0.5</v>
      </c>
      <c r="I94" s="130"/>
      <c r="J94" s="130"/>
    </row>
    <row r="95">
      <c r="A95" s="48"/>
      <c r="B95" s="112"/>
      <c r="C95" s="118">
        <v>13.0</v>
      </c>
      <c r="D95" s="119" t="s">
        <v>110</v>
      </c>
      <c r="E95" s="3"/>
      <c r="F95" s="4"/>
      <c r="G95" s="106" t="s">
        <v>69</v>
      </c>
      <c r="H95" s="129">
        <f t="shared" si="4"/>
        <v>0</v>
      </c>
      <c r="I95" s="130"/>
      <c r="J95" s="130"/>
    </row>
    <row r="96">
      <c r="A96" s="48"/>
      <c r="B96" s="131"/>
      <c r="C96" s="132">
        <v>14.0</v>
      </c>
      <c r="D96" s="122" t="s">
        <v>111</v>
      </c>
      <c r="E96" s="3"/>
      <c r="F96" s="4"/>
      <c r="G96" s="106" t="s">
        <v>63</v>
      </c>
      <c r="H96" s="129">
        <f t="shared" si="4"/>
        <v>1</v>
      </c>
      <c r="I96" s="130"/>
      <c r="J96" s="130"/>
    </row>
    <row r="97">
      <c r="A97" s="48"/>
      <c r="B97" s="131"/>
      <c r="C97" s="132">
        <v>15.0</v>
      </c>
      <c r="D97" s="122" t="s">
        <v>112</v>
      </c>
      <c r="E97" s="3"/>
      <c r="F97" s="4"/>
      <c r="G97" s="106" t="s">
        <v>67</v>
      </c>
      <c r="H97" s="129">
        <f t="shared" si="4"/>
        <v>0.5</v>
      </c>
      <c r="I97" s="130"/>
      <c r="J97" s="130"/>
    </row>
    <row r="98">
      <c r="A98" s="48"/>
      <c r="B98" s="131"/>
      <c r="C98" s="132">
        <v>16.0</v>
      </c>
      <c r="D98" s="122" t="s">
        <v>113</v>
      </c>
      <c r="E98" s="3"/>
      <c r="F98" s="4"/>
      <c r="G98" s="106" t="s">
        <v>69</v>
      </c>
      <c r="H98" s="129">
        <f t="shared" si="4"/>
        <v>0</v>
      </c>
      <c r="I98" s="130"/>
      <c r="J98" s="130"/>
    </row>
    <row r="99">
      <c r="A99" s="48"/>
      <c r="B99" s="131" t="s">
        <v>114</v>
      </c>
      <c r="C99" s="132">
        <v>17.0</v>
      </c>
      <c r="D99" s="122" t="s">
        <v>115</v>
      </c>
      <c r="E99" s="3"/>
      <c r="F99" s="4"/>
      <c r="G99" s="106" t="s">
        <v>63</v>
      </c>
      <c r="H99" s="129">
        <f t="shared" si="4"/>
        <v>1</v>
      </c>
      <c r="I99" s="130"/>
      <c r="J99" s="130"/>
    </row>
    <row r="100">
      <c r="A100" s="48"/>
      <c r="B100" s="131"/>
      <c r="C100" s="132">
        <v>18.0</v>
      </c>
      <c r="D100" s="122" t="s">
        <v>116</v>
      </c>
      <c r="E100" s="3"/>
      <c r="F100" s="4"/>
      <c r="G100" s="106" t="s">
        <v>67</v>
      </c>
      <c r="H100" s="129">
        <f t="shared" si="4"/>
        <v>0.5</v>
      </c>
      <c r="I100" s="130"/>
      <c r="J100" s="130"/>
    </row>
    <row r="101">
      <c r="A101" s="48"/>
      <c r="B101" s="131"/>
      <c r="C101" s="132">
        <v>19.0</v>
      </c>
      <c r="D101" s="133" t="s">
        <v>117</v>
      </c>
      <c r="E101" s="3"/>
      <c r="F101" s="4"/>
      <c r="G101" s="106" t="s">
        <v>69</v>
      </c>
      <c r="H101" s="129">
        <f t="shared" si="4"/>
        <v>0</v>
      </c>
      <c r="I101" s="130"/>
      <c r="J101" s="130"/>
    </row>
    <row r="102">
      <c r="A102" s="48"/>
      <c r="B102" s="131"/>
      <c r="C102" s="132">
        <v>20.0</v>
      </c>
      <c r="D102" s="133" t="s">
        <v>118</v>
      </c>
      <c r="E102" s="3"/>
      <c r="F102" s="4"/>
      <c r="G102" s="106" t="s">
        <v>69</v>
      </c>
      <c r="H102" s="129">
        <f t="shared" si="4"/>
        <v>0</v>
      </c>
      <c r="I102" s="130"/>
      <c r="J102" s="130"/>
    </row>
    <row r="103">
      <c r="A103" s="48"/>
      <c r="B103" s="131"/>
      <c r="C103" s="132">
        <v>21.0</v>
      </c>
      <c r="D103" s="133" t="s">
        <v>119</v>
      </c>
      <c r="E103" s="3"/>
      <c r="F103" s="4"/>
      <c r="G103" s="106" t="s">
        <v>63</v>
      </c>
      <c r="H103" s="129">
        <f t="shared" si="4"/>
        <v>1</v>
      </c>
      <c r="I103" s="130"/>
      <c r="J103" s="130"/>
    </row>
    <row r="104">
      <c r="A104" s="51"/>
      <c r="B104" s="131"/>
      <c r="C104" s="132">
        <v>22.0</v>
      </c>
      <c r="D104" s="105" t="s">
        <v>120</v>
      </c>
      <c r="E104" s="3"/>
      <c r="F104" s="4"/>
      <c r="G104" s="106" t="s">
        <v>63</v>
      </c>
      <c r="H104" s="129">
        <f t="shared" si="4"/>
        <v>1</v>
      </c>
      <c r="I104" s="130"/>
      <c r="J104" s="130"/>
    </row>
    <row r="105">
      <c r="A105" s="134" t="s">
        <v>20</v>
      </c>
      <c r="B105" s="135" t="s">
        <v>121</v>
      </c>
      <c r="C105" s="132">
        <v>1.0</v>
      </c>
      <c r="D105" s="11" t="s">
        <v>122</v>
      </c>
      <c r="E105" s="3"/>
      <c r="F105" s="4"/>
      <c r="G105" s="106" t="s">
        <v>67</v>
      </c>
      <c r="H105" s="129">
        <f t="shared" si="4"/>
        <v>0.5</v>
      </c>
      <c r="I105" s="130"/>
      <c r="J105" s="130"/>
    </row>
    <row r="106">
      <c r="A106" s="136"/>
      <c r="B106" s="136"/>
      <c r="C106" s="132">
        <v>2.0</v>
      </c>
      <c r="D106" s="11" t="s">
        <v>123</v>
      </c>
      <c r="E106" s="3"/>
      <c r="F106" s="4"/>
      <c r="G106" s="106" t="s">
        <v>63</v>
      </c>
      <c r="H106" s="129">
        <f t="shared" si="4"/>
        <v>1</v>
      </c>
      <c r="I106" s="130"/>
      <c r="J106" s="130"/>
    </row>
    <row r="107">
      <c r="A107" s="136"/>
      <c r="B107" s="136"/>
      <c r="C107" s="132">
        <v>3.0</v>
      </c>
      <c r="D107" s="19" t="s">
        <v>124</v>
      </c>
      <c r="E107" s="3"/>
      <c r="F107" s="4"/>
      <c r="G107" s="106" t="s">
        <v>69</v>
      </c>
      <c r="H107" s="129">
        <f t="shared" si="4"/>
        <v>0</v>
      </c>
      <c r="I107" s="130"/>
      <c r="J107" s="130"/>
    </row>
    <row r="108">
      <c r="A108" s="136"/>
      <c r="B108" s="136"/>
      <c r="C108" s="132">
        <v>4.0</v>
      </c>
      <c r="D108" s="11" t="s">
        <v>125</v>
      </c>
      <c r="E108" s="3"/>
      <c r="F108" s="4"/>
      <c r="G108" s="106" t="s">
        <v>63</v>
      </c>
      <c r="H108" s="129">
        <f t="shared" si="4"/>
        <v>1</v>
      </c>
      <c r="I108" s="130"/>
      <c r="J108" s="130"/>
    </row>
    <row r="109">
      <c r="A109" s="136"/>
      <c r="B109" s="136"/>
      <c r="C109" s="132">
        <v>5.0</v>
      </c>
      <c r="D109" s="19" t="s">
        <v>126</v>
      </c>
      <c r="E109" s="3"/>
      <c r="F109" s="4"/>
      <c r="G109" s="106" t="s">
        <v>63</v>
      </c>
      <c r="H109" s="129">
        <f t="shared" si="4"/>
        <v>1</v>
      </c>
      <c r="I109" s="130"/>
      <c r="J109" s="130"/>
    </row>
    <row r="110">
      <c r="A110" s="136"/>
      <c r="B110" s="136"/>
      <c r="C110" s="132">
        <v>6.0</v>
      </c>
      <c r="D110" s="19" t="s">
        <v>127</v>
      </c>
      <c r="E110" s="3"/>
      <c r="F110" s="4"/>
      <c r="G110" s="106" t="s">
        <v>63</v>
      </c>
      <c r="H110" s="129">
        <f t="shared" si="4"/>
        <v>1</v>
      </c>
      <c r="I110" s="130"/>
      <c r="J110" s="130"/>
    </row>
    <row r="111">
      <c r="A111" s="136"/>
      <c r="B111" s="136"/>
      <c r="C111" s="132">
        <v>7.0</v>
      </c>
      <c r="D111" s="19" t="s">
        <v>128</v>
      </c>
      <c r="E111" s="3"/>
      <c r="F111" s="4"/>
      <c r="G111" s="106" t="s">
        <v>67</v>
      </c>
      <c r="H111" s="129">
        <f t="shared" si="4"/>
        <v>0.5</v>
      </c>
      <c r="I111" s="130"/>
      <c r="J111" s="130"/>
    </row>
    <row r="112">
      <c r="A112" s="136"/>
      <c r="B112" s="136"/>
      <c r="C112" s="132">
        <v>8.0</v>
      </c>
      <c r="D112" s="19" t="s">
        <v>129</v>
      </c>
      <c r="E112" s="3"/>
      <c r="F112" s="4"/>
      <c r="G112" s="106" t="s">
        <v>63</v>
      </c>
      <c r="H112" s="129">
        <f t="shared" si="4"/>
        <v>1</v>
      </c>
      <c r="I112" s="130"/>
      <c r="J112" s="130"/>
    </row>
    <row r="113">
      <c r="A113" s="136"/>
      <c r="B113" s="136"/>
      <c r="C113" s="132">
        <v>9.0</v>
      </c>
      <c r="D113" s="19" t="s">
        <v>130</v>
      </c>
      <c r="E113" s="3"/>
      <c r="F113" s="4"/>
      <c r="G113" s="106" t="s">
        <v>69</v>
      </c>
      <c r="H113" s="129">
        <f t="shared" si="4"/>
        <v>0</v>
      </c>
      <c r="I113" s="130"/>
      <c r="J113" s="130"/>
    </row>
    <row r="114">
      <c r="A114" s="136"/>
      <c r="B114" s="136"/>
      <c r="C114" s="132">
        <v>10.0</v>
      </c>
      <c r="D114" s="19" t="s">
        <v>131</v>
      </c>
      <c r="E114" s="3"/>
      <c r="F114" s="4"/>
      <c r="G114" s="106" t="s">
        <v>63</v>
      </c>
      <c r="H114" s="129">
        <f t="shared" si="4"/>
        <v>1</v>
      </c>
      <c r="I114" s="130"/>
      <c r="J114" s="130"/>
    </row>
    <row r="115">
      <c r="A115" s="136"/>
      <c r="B115" s="136"/>
      <c r="C115" s="132">
        <v>11.0</v>
      </c>
      <c r="D115" s="11" t="s">
        <v>132</v>
      </c>
      <c r="E115" s="3"/>
      <c r="F115" s="4"/>
      <c r="G115" s="106" t="s">
        <v>67</v>
      </c>
      <c r="H115" s="129">
        <f t="shared" si="4"/>
        <v>0.5</v>
      </c>
      <c r="I115" s="130"/>
      <c r="J115" s="130"/>
    </row>
    <row r="116">
      <c r="A116" s="136"/>
      <c r="B116" s="137"/>
      <c r="C116" s="132">
        <v>12.0</v>
      </c>
      <c r="D116" s="11" t="s">
        <v>133</v>
      </c>
      <c r="E116" s="3"/>
      <c r="F116" s="4"/>
      <c r="G116" s="106" t="s">
        <v>69</v>
      </c>
      <c r="H116" s="129">
        <f t="shared" si="4"/>
        <v>0</v>
      </c>
      <c r="I116" s="130"/>
      <c r="J116" s="130"/>
    </row>
    <row r="117">
      <c r="A117" s="136"/>
      <c r="B117" s="138" t="s">
        <v>134</v>
      </c>
      <c r="C117" s="132">
        <v>13.0</v>
      </c>
      <c r="D117" s="133" t="s">
        <v>135</v>
      </c>
      <c r="E117" s="3"/>
      <c r="F117" s="4"/>
      <c r="G117" s="106" t="s">
        <v>63</v>
      </c>
      <c r="H117" s="129">
        <f t="shared" si="4"/>
        <v>1</v>
      </c>
      <c r="I117" s="130"/>
      <c r="J117" s="130"/>
    </row>
    <row r="118">
      <c r="A118" s="136"/>
      <c r="B118" s="136"/>
      <c r="C118" s="132">
        <v>14.0</v>
      </c>
      <c r="D118" s="139" t="s">
        <v>136</v>
      </c>
      <c r="E118" s="3"/>
      <c r="F118" s="4"/>
      <c r="G118" s="106" t="s">
        <v>63</v>
      </c>
      <c r="H118" s="129">
        <f t="shared" si="4"/>
        <v>1</v>
      </c>
      <c r="I118" s="130"/>
      <c r="J118" s="130"/>
    </row>
    <row r="119">
      <c r="A119" s="136"/>
      <c r="B119" s="137"/>
      <c r="C119" s="132">
        <v>15.0</v>
      </c>
      <c r="D119" s="139" t="s">
        <v>137</v>
      </c>
      <c r="E119" s="3"/>
      <c r="F119" s="4"/>
      <c r="G119" s="106" t="s">
        <v>67</v>
      </c>
      <c r="H119" s="129">
        <f t="shared" si="4"/>
        <v>0.5</v>
      </c>
      <c r="I119" s="130"/>
      <c r="J119" s="130"/>
    </row>
    <row r="120">
      <c r="A120" s="136"/>
      <c r="B120" s="138" t="s">
        <v>138</v>
      </c>
      <c r="C120" s="132">
        <v>16.0</v>
      </c>
      <c r="D120" s="11" t="s">
        <v>139</v>
      </c>
      <c r="E120" s="3"/>
      <c r="F120" s="4"/>
      <c r="G120" s="106" t="s">
        <v>63</v>
      </c>
      <c r="H120" s="129">
        <f t="shared" si="4"/>
        <v>1</v>
      </c>
      <c r="I120" s="130"/>
      <c r="J120" s="130"/>
    </row>
    <row r="121">
      <c r="A121" s="136"/>
      <c r="B121" s="136"/>
      <c r="C121" s="132">
        <v>17.0</v>
      </c>
      <c r="D121" s="11" t="s">
        <v>140</v>
      </c>
      <c r="E121" s="3"/>
      <c r="F121" s="4"/>
      <c r="G121" s="106" t="s">
        <v>69</v>
      </c>
      <c r="H121" s="129">
        <f t="shared" si="4"/>
        <v>0</v>
      </c>
      <c r="I121" s="130"/>
      <c r="J121" s="130"/>
    </row>
    <row r="122">
      <c r="A122" s="136"/>
      <c r="B122" s="137"/>
      <c r="C122" s="132">
        <v>18.0</v>
      </c>
      <c r="D122" s="105" t="s">
        <v>141</v>
      </c>
      <c r="E122" s="3"/>
      <c r="F122" s="4"/>
      <c r="G122" s="106" t="s">
        <v>63</v>
      </c>
      <c r="H122" s="129">
        <f t="shared" si="4"/>
        <v>1</v>
      </c>
      <c r="I122" s="130"/>
      <c r="J122" s="130"/>
    </row>
    <row r="123">
      <c r="A123" s="136"/>
      <c r="B123" s="138" t="s">
        <v>142</v>
      </c>
      <c r="C123" s="132">
        <v>19.0</v>
      </c>
      <c r="D123" s="11" t="s">
        <v>143</v>
      </c>
      <c r="E123" s="3"/>
      <c r="F123" s="4"/>
      <c r="G123" s="106" t="s">
        <v>63</v>
      </c>
      <c r="H123" s="129">
        <f t="shared" si="4"/>
        <v>1</v>
      </c>
      <c r="I123" s="130"/>
      <c r="J123" s="130"/>
    </row>
    <row r="124">
      <c r="A124" s="136"/>
      <c r="B124" s="136"/>
      <c r="C124" s="132">
        <v>20.0</v>
      </c>
      <c r="D124" s="11" t="s">
        <v>144</v>
      </c>
      <c r="E124" s="3"/>
      <c r="F124" s="4"/>
      <c r="G124" s="106" t="s">
        <v>63</v>
      </c>
      <c r="H124" s="129">
        <f t="shared" si="4"/>
        <v>1</v>
      </c>
      <c r="I124" s="130"/>
      <c r="J124" s="130"/>
    </row>
    <row r="125">
      <c r="A125" s="136"/>
      <c r="B125" s="137"/>
      <c r="C125" s="132">
        <v>21.0</v>
      </c>
      <c r="D125" s="11" t="s">
        <v>145</v>
      </c>
      <c r="E125" s="3"/>
      <c r="F125" s="4"/>
      <c r="G125" s="106" t="s">
        <v>67</v>
      </c>
      <c r="H125" s="129">
        <f t="shared" si="4"/>
        <v>0.5</v>
      </c>
      <c r="I125" s="130"/>
      <c r="J125" s="130"/>
    </row>
    <row r="126">
      <c r="A126" s="136"/>
      <c r="B126" s="138" t="s">
        <v>146</v>
      </c>
      <c r="C126" s="132">
        <v>22.0</v>
      </c>
      <c r="D126" s="11" t="s">
        <v>147</v>
      </c>
      <c r="E126" s="3"/>
      <c r="F126" s="4"/>
      <c r="G126" s="106" t="s">
        <v>63</v>
      </c>
      <c r="H126" s="129">
        <f t="shared" si="4"/>
        <v>1</v>
      </c>
      <c r="I126" s="130"/>
      <c r="J126" s="130"/>
    </row>
    <row r="127">
      <c r="A127" s="136"/>
      <c r="B127" s="136"/>
      <c r="C127" s="132">
        <v>23.0</v>
      </c>
      <c r="D127" s="11" t="s">
        <v>148</v>
      </c>
      <c r="E127" s="3"/>
      <c r="F127" s="4"/>
      <c r="G127" s="106" t="s">
        <v>69</v>
      </c>
      <c r="H127" s="129">
        <f t="shared" si="4"/>
        <v>0</v>
      </c>
      <c r="I127" s="130"/>
      <c r="J127" s="130"/>
    </row>
    <row r="128">
      <c r="A128" s="136"/>
      <c r="B128" s="136"/>
      <c r="C128" s="132">
        <v>24.0</v>
      </c>
      <c r="D128" s="19" t="s">
        <v>149</v>
      </c>
      <c r="E128" s="3"/>
      <c r="F128" s="4"/>
      <c r="G128" s="106" t="s">
        <v>63</v>
      </c>
      <c r="H128" s="129">
        <f t="shared" si="4"/>
        <v>1</v>
      </c>
      <c r="I128" s="130"/>
      <c r="J128" s="130"/>
    </row>
    <row r="129">
      <c r="A129" s="137"/>
      <c r="B129" s="137"/>
      <c r="C129" s="132">
        <v>25.0</v>
      </c>
      <c r="D129" s="19" t="s">
        <v>150</v>
      </c>
      <c r="E129" s="3"/>
      <c r="F129" s="4"/>
      <c r="G129" s="106" t="s">
        <v>67</v>
      </c>
      <c r="H129" s="129">
        <f t="shared" si="4"/>
        <v>0.5</v>
      </c>
      <c r="I129" s="130"/>
      <c r="J129" s="130"/>
    </row>
    <row r="130">
      <c r="A130" s="140" t="s">
        <v>151</v>
      </c>
      <c r="B130" s="141" t="s">
        <v>152</v>
      </c>
      <c r="C130" s="118">
        <v>1.0</v>
      </c>
      <c r="D130" s="11" t="s">
        <v>153</v>
      </c>
      <c r="E130" s="3"/>
      <c r="F130" s="4"/>
      <c r="G130" s="106" t="s">
        <v>69</v>
      </c>
      <c r="H130" s="107">
        <f t="shared" si="4"/>
        <v>0</v>
      </c>
      <c r="I130" s="107"/>
      <c r="J130" s="108"/>
    </row>
    <row r="131">
      <c r="A131" s="48"/>
      <c r="B131" s="110"/>
      <c r="C131" s="118">
        <v>2.0</v>
      </c>
      <c r="D131" s="11" t="s">
        <v>154</v>
      </c>
      <c r="E131" s="3"/>
      <c r="F131" s="4"/>
      <c r="G131" s="106" t="s">
        <v>69</v>
      </c>
      <c r="H131" s="107">
        <f t="shared" si="4"/>
        <v>0</v>
      </c>
      <c r="I131" s="107"/>
      <c r="J131" s="108"/>
    </row>
    <row r="132">
      <c r="A132" s="48"/>
      <c r="B132" s="110"/>
      <c r="C132" s="118">
        <v>3.0</v>
      </c>
      <c r="D132" s="11" t="s">
        <v>155</v>
      </c>
      <c r="E132" s="3"/>
      <c r="F132" s="4"/>
      <c r="G132" s="106" t="s">
        <v>63</v>
      </c>
      <c r="H132" s="107">
        <f t="shared" si="4"/>
        <v>1</v>
      </c>
      <c r="I132" s="107"/>
      <c r="J132" s="108"/>
    </row>
    <row r="133">
      <c r="A133" s="48"/>
      <c r="B133" s="110"/>
      <c r="C133" s="118">
        <v>4.0</v>
      </c>
      <c r="D133" s="11" t="s">
        <v>156</v>
      </c>
      <c r="E133" s="3"/>
      <c r="F133" s="4"/>
      <c r="G133" s="106" t="s">
        <v>63</v>
      </c>
      <c r="H133" s="107">
        <f t="shared" si="4"/>
        <v>1</v>
      </c>
      <c r="I133" s="107"/>
      <c r="J133" s="108"/>
    </row>
    <row r="134">
      <c r="A134" s="48"/>
      <c r="B134" s="112"/>
      <c r="C134" s="118">
        <v>5.0</v>
      </c>
      <c r="D134" s="11" t="s">
        <v>157</v>
      </c>
      <c r="E134" s="3"/>
      <c r="F134" s="4"/>
      <c r="G134" s="106" t="s">
        <v>67</v>
      </c>
      <c r="H134" s="107">
        <f t="shared" si="4"/>
        <v>0.5</v>
      </c>
      <c r="I134" s="107"/>
      <c r="J134" s="108"/>
    </row>
    <row r="135">
      <c r="A135" s="48"/>
      <c r="B135" s="141" t="s">
        <v>158</v>
      </c>
      <c r="C135" s="118">
        <v>6.0</v>
      </c>
      <c r="D135" s="11" t="s">
        <v>159</v>
      </c>
      <c r="E135" s="3"/>
      <c r="F135" s="4"/>
      <c r="G135" s="106" t="s">
        <v>63</v>
      </c>
      <c r="H135" s="107">
        <f t="shared" si="4"/>
        <v>1</v>
      </c>
      <c r="I135" s="107"/>
      <c r="J135" s="108"/>
    </row>
    <row r="136">
      <c r="A136" s="48"/>
      <c r="B136" s="110"/>
      <c r="C136" s="118">
        <v>7.0</v>
      </c>
      <c r="D136" s="11" t="s">
        <v>160</v>
      </c>
      <c r="E136" s="3"/>
      <c r="F136" s="4"/>
      <c r="G136" s="106" t="s">
        <v>69</v>
      </c>
      <c r="H136" s="107">
        <f t="shared" si="4"/>
        <v>0</v>
      </c>
      <c r="I136" s="107"/>
      <c r="J136" s="108"/>
    </row>
    <row r="137">
      <c r="A137" s="48"/>
      <c r="B137" s="110"/>
      <c r="C137" s="118">
        <v>8.0</v>
      </c>
      <c r="D137" s="11" t="s">
        <v>161</v>
      </c>
      <c r="E137" s="3"/>
      <c r="F137" s="4"/>
      <c r="G137" s="106" t="s">
        <v>63</v>
      </c>
      <c r="H137" s="107">
        <f t="shared" si="4"/>
        <v>1</v>
      </c>
      <c r="I137" s="107"/>
      <c r="J137" s="108"/>
    </row>
    <row r="138">
      <c r="A138" s="48"/>
      <c r="B138" s="110"/>
      <c r="C138" s="118">
        <v>9.0</v>
      </c>
      <c r="D138" s="11" t="s">
        <v>162</v>
      </c>
      <c r="E138" s="3"/>
      <c r="F138" s="4"/>
      <c r="G138" s="106" t="s">
        <v>63</v>
      </c>
      <c r="H138" s="107">
        <f t="shared" si="4"/>
        <v>1</v>
      </c>
      <c r="I138" s="107"/>
      <c r="J138" s="108"/>
    </row>
    <row r="139">
      <c r="A139" s="48"/>
      <c r="B139" s="112"/>
      <c r="C139" s="118">
        <v>10.0</v>
      </c>
      <c r="D139" s="11" t="s">
        <v>163</v>
      </c>
      <c r="E139" s="3"/>
      <c r="F139" s="4"/>
      <c r="G139" s="106" t="s">
        <v>63</v>
      </c>
      <c r="H139" s="107">
        <f t="shared" si="4"/>
        <v>1</v>
      </c>
      <c r="I139" s="107"/>
      <c r="J139" s="108"/>
    </row>
    <row r="140">
      <c r="A140" s="48"/>
      <c r="B140" s="141" t="s">
        <v>164</v>
      </c>
      <c r="C140" s="118">
        <v>11.0</v>
      </c>
      <c r="D140" s="11" t="s">
        <v>165</v>
      </c>
      <c r="E140" s="3"/>
      <c r="F140" s="4"/>
      <c r="G140" s="106" t="s">
        <v>67</v>
      </c>
      <c r="H140" s="107">
        <f t="shared" si="4"/>
        <v>0.5</v>
      </c>
      <c r="I140" s="107"/>
      <c r="J140" s="108"/>
    </row>
    <row r="141">
      <c r="A141" s="48"/>
      <c r="B141" s="110"/>
      <c r="C141" s="118">
        <v>12.0</v>
      </c>
      <c r="D141" s="11" t="s">
        <v>166</v>
      </c>
      <c r="E141" s="3"/>
      <c r="F141" s="4"/>
      <c r="G141" s="106" t="s">
        <v>63</v>
      </c>
      <c r="H141" s="107">
        <f t="shared" si="4"/>
        <v>1</v>
      </c>
      <c r="I141" s="107"/>
      <c r="J141" s="108"/>
    </row>
    <row r="142">
      <c r="A142" s="48"/>
      <c r="B142" s="110"/>
      <c r="C142" s="118">
        <v>13.0</v>
      </c>
      <c r="D142" s="11" t="s">
        <v>167</v>
      </c>
      <c r="E142" s="3"/>
      <c r="F142" s="4"/>
      <c r="G142" s="106" t="s">
        <v>69</v>
      </c>
      <c r="H142" s="107">
        <f t="shared" si="4"/>
        <v>0</v>
      </c>
      <c r="I142" s="107"/>
      <c r="J142" s="108"/>
    </row>
    <row r="143">
      <c r="A143" s="48"/>
      <c r="B143" s="110"/>
      <c r="C143" s="118">
        <v>14.0</v>
      </c>
      <c r="D143" s="11" t="s">
        <v>168</v>
      </c>
      <c r="E143" s="3"/>
      <c r="F143" s="4"/>
      <c r="G143" s="106" t="s">
        <v>63</v>
      </c>
      <c r="H143" s="107">
        <f t="shared" si="4"/>
        <v>1</v>
      </c>
      <c r="I143" s="107"/>
      <c r="J143" s="108"/>
    </row>
    <row r="144">
      <c r="A144" s="48"/>
      <c r="B144" s="110"/>
      <c r="C144" s="118">
        <v>15.0</v>
      </c>
      <c r="D144" s="11" t="s">
        <v>169</v>
      </c>
      <c r="E144" s="3"/>
      <c r="F144" s="4"/>
      <c r="G144" s="106" t="s">
        <v>67</v>
      </c>
      <c r="H144" s="107">
        <f t="shared" si="4"/>
        <v>0.5</v>
      </c>
      <c r="I144" s="107"/>
      <c r="J144" s="108"/>
    </row>
    <row r="145">
      <c r="A145" s="48"/>
      <c r="B145" s="110"/>
      <c r="C145" s="118">
        <v>16.0</v>
      </c>
      <c r="D145" s="11" t="s">
        <v>170</v>
      </c>
      <c r="E145" s="3"/>
      <c r="F145" s="4"/>
      <c r="G145" s="106" t="s">
        <v>69</v>
      </c>
      <c r="H145" s="107">
        <f t="shared" si="4"/>
        <v>0</v>
      </c>
      <c r="I145" s="107"/>
      <c r="J145" s="108"/>
    </row>
    <row r="146">
      <c r="A146" s="48"/>
      <c r="B146" s="110"/>
      <c r="C146" s="118">
        <v>17.0</v>
      </c>
      <c r="D146" s="11" t="s">
        <v>171</v>
      </c>
      <c r="E146" s="3"/>
      <c r="F146" s="4"/>
      <c r="G146" s="106" t="s">
        <v>63</v>
      </c>
      <c r="H146" s="107">
        <f t="shared" si="4"/>
        <v>1</v>
      </c>
      <c r="I146" s="107"/>
      <c r="J146" s="108"/>
    </row>
    <row r="147">
      <c r="A147" s="48"/>
      <c r="B147" s="110"/>
      <c r="C147" s="118">
        <v>18.0</v>
      </c>
      <c r="D147" s="11" t="s">
        <v>172</v>
      </c>
      <c r="E147" s="3"/>
      <c r="F147" s="4"/>
      <c r="G147" s="106" t="s">
        <v>63</v>
      </c>
      <c r="H147" s="107">
        <f t="shared" si="4"/>
        <v>1</v>
      </c>
      <c r="I147" s="107"/>
      <c r="J147" s="108"/>
    </row>
    <row r="148">
      <c r="A148" s="48"/>
      <c r="B148" s="110"/>
      <c r="C148" s="118">
        <v>19.0</v>
      </c>
      <c r="D148" s="11" t="s">
        <v>173</v>
      </c>
      <c r="E148" s="3"/>
      <c r="F148" s="4"/>
      <c r="G148" s="106" t="s">
        <v>67</v>
      </c>
      <c r="H148" s="107">
        <f t="shared" si="4"/>
        <v>0.5</v>
      </c>
      <c r="I148" s="107"/>
      <c r="J148" s="108"/>
    </row>
    <row r="149">
      <c r="A149" s="48"/>
      <c r="B149" s="110"/>
      <c r="C149" s="118">
        <v>20.0</v>
      </c>
      <c r="D149" s="11" t="s">
        <v>174</v>
      </c>
      <c r="E149" s="3"/>
      <c r="F149" s="4"/>
      <c r="G149" s="106" t="s">
        <v>63</v>
      </c>
      <c r="H149" s="107">
        <f t="shared" si="4"/>
        <v>1</v>
      </c>
      <c r="I149" s="107"/>
      <c r="J149" s="108"/>
    </row>
    <row r="150">
      <c r="A150" s="48"/>
      <c r="B150" s="110"/>
      <c r="C150" s="118">
        <v>21.0</v>
      </c>
      <c r="D150" s="11" t="s">
        <v>175</v>
      </c>
      <c r="E150" s="3"/>
      <c r="F150" s="4"/>
      <c r="G150" s="106" t="s">
        <v>69</v>
      </c>
      <c r="H150" s="107">
        <f t="shared" si="4"/>
        <v>0</v>
      </c>
      <c r="I150" s="107"/>
      <c r="J150" s="108"/>
    </row>
    <row r="151">
      <c r="A151" s="48"/>
      <c r="B151" s="110"/>
      <c r="C151" s="118">
        <v>22.0</v>
      </c>
      <c r="D151" s="11" t="s">
        <v>176</v>
      </c>
      <c r="E151" s="3"/>
      <c r="F151" s="4"/>
      <c r="G151" s="106" t="s">
        <v>63</v>
      </c>
      <c r="H151" s="107">
        <f t="shared" si="4"/>
        <v>1</v>
      </c>
      <c r="I151" s="107"/>
      <c r="J151" s="108"/>
    </row>
    <row r="152">
      <c r="A152" s="48"/>
      <c r="B152" s="112"/>
      <c r="C152" s="118">
        <v>23.0</v>
      </c>
      <c r="D152" s="11" t="s">
        <v>177</v>
      </c>
      <c r="E152" s="3"/>
      <c r="F152" s="4"/>
      <c r="G152" s="106" t="s">
        <v>63</v>
      </c>
      <c r="H152" s="107">
        <f t="shared" si="4"/>
        <v>1</v>
      </c>
      <c r="I152" s="108" t="s">
        <v>178</v>
      </c>
      <c r="J152" s="108"/>
    </row>
    <row r="153">
      <c r="A153" s="48"/>
      <c r="B153" s="141" t="s">
        <v>179</v>
      </c>
      <c r="C153" s="118">
        <v>24.0</v>
      </c>
      <c r="D153" s="11" t="s">
        <v>180</v>
      </c>
      <c r="E153" s="3"/>
      <c r="F153" s="4"/>
      <c r="G153" s="106" t="s">
        <v>63</v>
      </c>
      <c r="H153" s="107">
        <f t="shared" si="4"/>
        <v>1</v>
      </c>
      <c r="I153" s="107"/>
      <c r="J153" s="108"/>
    </row>
    <row r="154">
      <c r="A154" s="48"/>
      <c r="B154" s="110"/>
      <c r="C154" s="118">
        <v>25.0</v>
      </c>
      <c r="D154" s="11" t="s">
        <v>181</v>
      </c>
      <c r="E154" s="3"/>
      <c r="F154" s="4"/>
      <c r="G154" s="106" t="s">
        <v>67</v>
      </c>
      <c r="H154" s="107">
        <f t="shared" si="4"/>
        <v>0.5</v>
      </c>
      <c r="I154" s="142" t="s">
        <v>182</v>
      </c>
      <c r="J154" s="108"/>
    </row>
    <row r="155">
      <c r="A155" s="48"/>
      <c r="B155" s="110"/>
      <c r="C155" s="118">
        <v>26.0</v>
      </c>
      <c r="D155" s="11" t="s">
        <v>183</v>
      </c>
      <c r="E155" s="3"/>
      <c r="F155" s="4"/>
      <c r="G155" s="106" t="s">
        <v>63</v>
      </c>
      <c r="H155" s="107">
        <f t="shared" si="4"/>
        <v>1</v>
      </c>
      <c r="I155" s="107"/>
      <c r="J155" s="108"/>
    </row>
    <row r="156">
      <c r="A156" s="48"/>
      <c r="B156" s="110"/>
      <c r="C156" s="118">
        <v>27.0</v>
      </c>
      <c r="D156" s="11" t="s">
        <v>184</v>
      </c>
      <c r="E156" s="3"/>
      <c r="F156" s="4"/>
      <c r="G156" s="106" t="s">
        <v>69</v>
      </c>
      <c r="H156" s="107">
        <f t="shared" si="4"/>
        <v>0</v>
      </c>
      <c r="I156" s="107"/>
      <c r="J156" s="108"/>
    </row>
    <row r="157">
      <c r="A157" s="48"/>
      <c r="B157" s="110"/>
      <c r="C157" s="118">
        <v>28.0</v>
      </c>
      <c r="D157" s="11" t="s">
        <v>185</v>
      </c>
      <c r="E157" s="3"/>
      <c r="F157" s="4"/>
      <c r="G157" s="106" t="s">
        <v>63</v>
      </c>
      <c r="H157" s="107">
        <f t="shared" si="4"/>
        <v>1</v>
      </c>
      <c r="I157" s="107"/>
      <c r="J157" s="108"/>
    </row>
    <row r="158">
      <c r="A158" s="48"/>
      <c r="B158" s="110"/>
      <c r="C158" s="118">
        <v>29.0</v>
      </c>
      <c r="D158" s="11" t="s">
        <v>186</v>
      </c>
      <c r="E158" s="3"/>
      <c r="F158" s="4"/>
      <c r="G158" s="106" t="s">
        <v>67</v>
      </c>
      <c r="H158" s="107">
        <f t="shared" si="4"/>
        <v>0.5</v>
      </c>
      <c r="I158" s="107"/>
      <c r="J158" s="108"/>
    </row>
    <row r="159">
      <c r="A159" s="48"/>
      <c r="B159" s="110"/>
      <c r="C159" s="118">
        <v>30.0</v>
      </c>
      <c r="D159" s="11" t="s">
        <v>187</v>
      </c>
      <c r="E159" s="3"/>
      <c r="F159" s="4"/>
      <c r="G159" s="106" t="s">
        <v>63</v>
      </c>
      <c r="H159" s="107">
        <f t="shared" si="4"/>
        <v>1</v>
      </c>
      <c r="I159" s="107"/>
      <c r="J159" s="108"/>
    </row>
    <row r="160">
      <c r="A160" s="48"/>
      <c r="B160" s="112"/>
      <c r="C160" s="118">
        <v>31.0</v>
      </c>
      <c r="D160" s="11" t="s">
        <v>188</v>
      </c>
      <c r="E160" s="3"/>
      <c r="F160" s="4"/>
      <c r="G160" s="106" t="s">
        <v>67</v>
      </c>
      <c r="H160" s="107">
        <f t="shared" si="4"/>
        <v>0.5</v>
      </c>
      <c r="I160" s="107"/>
      <c r="J160" s="108"/>
    </row>
    <row r="161">
      <c r="A161" s="101" t="s">
        <v>189</v>
      </c>
      <c r="B161" s="52"/>
      <c r="C161" s="52"/>
      <c r="D161" s="52"/>
      <c r="E161" s="52"/>
      <c r="F161" s="52"/>
      <c r="G161" s="52"/>
      <c r="H161" s="52"/>
      <c r="I161" s="52"/>
      <c r="J161" s="53"/>
    </row>
    <row r="162">
      <c r="A162" s="143"/>
      <c r="B162" s="144" t="s">
        <v>190</v>
      </c>
      <c r="C162" s="132">
        <v>1.0</v>
      </c>
      <c r="D162" s="11" t="s">
        <v>191</v>
      </c>
      <c r="E162" s="3"/>
      <c r="F162" s="4"/>
      <c r="G162" s="106" t="s">
        <v>63</v>
      </c>
      <c r="H162" s="107">
        <f t="shared" ref="H162:H172" si="5">IF(G162="〇", 1, IF(G162="△", 0.5, 0))</f>
        <v>1</v>
      </c>
      <c r="I162" s="108" t="s">
        <v>64</v>
      </c>
      <c r="J162" s="107"/>
    </row>
    <row r="163">
      <c r="A163" s="143"/>
      <c r="B163" s="136"/>
      <c r="C163" s="132">
        <v>2.0</v>
      </c>
      <c r="D163" s="11" t="s">
        <v>192</v>
      </c>
      <c r="E163" s="3"/>
      <c r="F163" s="4"/>
      <c r="G163" s="106" t="s">
        <v>67</v>
      </c>
      <c r="H163" s="107">
        <f t="shared" si="5"/>
        <v>0.5</v>
      </c>
      <c r="I163" s="107"/>
      <c r="J163" s="107"/>
    </row>
    <row r="164">
      <c r="A164" s="143"/>
      <c r="B164" s="136"/>
      <c r="C164" s="132">
        <v>3.0</v>
      </c>
      <c r="D164" s="11" t="s">
        <v>193</v>
      </c>
      <c r="E164" s="3"/>
      <c r="F164" s="4"/>
      <c r="G164" s="106" t="s">
        <v>63</v>
      </c>
      <c r="H164" s="107">
        <f t="shared" si="5"/>
        <v>1</v>
      </c>
      <c r="I164" s="108" t="s">
        <v>64</v>
      </c>
      <c r="J164" s="107"/>
    </row>
    <row r="165">
      <c r="A165" s="143" t="s">
        <v>22</v>
      </c>
      <c r="B165" s="136"/>
      <c r="C165" s="132">
        <v>4.0</v>
      </c>
      <c r="D165" s="11" t="s">
        <v>194</v>
      </c>
      <c r="E165" s="3"/>
      <c r="F165" s="4"/>
      <c r="G165" s="106" t="s">
        <v>69</v>
      </c>
      <c r="H165" s="107">
        <f t="shared" si="5"/>
        <v>0</v>
      </c>
      <c r="I165" s="107"/>
      <c r="J165" s="107"/>
    </row>
    <row r="166">
      <c r="A166" s="143"/>
      <c r="B166" s="137"/>
      <c r="C166" s="132">
        <v>5.0</v>
      </c>
      <c r="D166" s="11" t="s">
        <v>195</v>
      </c>
      <c r="E166" s="3"/>
      <c r="F166" s="4"/>
      <c r="G166" s="106" t="s">
        <v>63</v>
      </c>
      <c r="H166" s="107">
        <f t="shared" si="5"/>
        <v>1</v>
      </c>
      <c r="I166" s="107"/>
      <c r="J166" s="107"/>
    </row>
    <row r="167">
      <c r="A167" s="143"/>
      <c r="B167" s="145" t="s">
        <v>196</v>
      </c>
      <c r="C167" s="132">
        <v>6.0</v>
      </c>
      <c r="D167" s="11" t="s">
        <v>197</v>
      </c>
      <c r="E167" s="3"/>
      <c r="F167" s="4"/>
      <c r="G167" s="106" t="s">
        <v>67</v>
      </c>
      <c r="H167" s="107">
        <f t="shared" si="5"/>
        <v>0.5</v>
      </c>
      <c r="I167" s="107"/>
      <c r="J167" s="107"/>
    </row>
    <row r="168">
      <c r="A168" s="143"/>
      <c r="B168" s="136"/>
      <c r="C168" s="132">
        <v>7.0</v>
      </c>
      <c r="D168" s="11" t="s">
        <v>198</v>
      </c>
      <c r="E168" s="3"/>
      <c r="F168" s="4"/>
      <c r="G168" s="106" t="s">
        <v>63</v>
      </c>
      <c r="H168" s="107">
        <f t="shared" si="5"/>
        <v>1</v>
      </c>
      <c r="I168" s="107"/>
      <c r="J168" s="107"/>
    </row>
    <row r="169">
      <c r="A169" s="143"/>
      <c r="B169" s="136"/>
      <c r="C169" s="132">
        <v>8.0</v>
      </c>
      <c r="D169" s="11" t="s">
        <v>199</v>
      </c>
      <c r="E169" s="3"/>
      <c r="F169" s="4"/>
      <c r="G169" s="106" t="s">
        <v>67</v>
      </c>
      <c r="H169" s="107">
        <f t="shared" si="5"/>
        <v>0.5</v>
      </c>
      <c r="I169" s="107"/>
      <c r="J169" s="107"/>
    </row>
    <row r="170">
      <c r="A170" s="143"/>
      <c r="B170" s="136"/>
      <c r="C170" s="132">
        <v>9.0</v>
      </c>
      <c r="D170" s="11" t="s">
        <v>200</v>
      </c>
      <c r="E170" s="3"/>
      <c r="F170" s="4"/>
      <c r="G170" s="106" t="s">
        <v>69</v>
      </c>
      <c r="H170" s="107">
        <f t="shared" si="5"/>
        <v>0</v>
      </c>
      <c r="I170" s="107"/>
      <c r="J170" s="107"/>
    </row>
    <row r="171">
      <c r="A171" s="143"/>
      <c r="B171" s="136"/>
      <c r="C171" s="132">
        <v>10.0</v>
      </c>
      <c r="D171" s="11" t="s">
        <v>201</v>
      </c>
      <c r="E171" s="3"/>
      <c r="F171" s="4"/>
      <c r="G171" s="106" t="s">
        <v>67</v>
      </c>
      <c r="H171" s="107">
        <f t="shared" si="5"/>
        <v>0.5</v>
      </c>
      <c r="I171" s="107"/>
      <c r="J171" s="107"/>
    </row>
    <row r="172">
      <c r="A172" s="143"/>
      <c r="B172" s="137"/>
      <c r="C172" s="132">
        <v>11.0</v>
      </c>
      <c r="D172" s="11" t="s">
        <v>202</v>
      </c>
      <c r="E172" s="3"/>
      <c r="F172" s="4"/>
      <c r="G172" s="106" t="s">
        <v>63</v>
      </c>
      <c r="H172" s="107">
        <f t="shared" si="5"/>
        <v>1</v>
      </c>
      <c r="I172" s="107"/>
      <c r="J172" s="107"/>
    </row>
  </sheetData>
  <mergeCells count="197">
    <mergeCell ref="C40:E40"/>
    <mergeCell ref="F40:G40"/>
    <mergeCell ref="A41:B41"/>
    <mergeCell ref="C41:E41"/>
    <mergeCell ref="F41:G41"/>
    <mergeCell ref="H41:J41"/>
    <mergeCell ref="A42:B42"/>
    <mergeCell ref="H42:J42"/>
    <mergeCell ref="C42:E42"/>
    <mergeCell ref="F42:G42"/>
    <mergeCell ref="A43:B43"/>
    <mergeCell ref="C43:E43"/>
    <mergeCell ref="F43:G43"/>
    <mergeCell ref="H43:J43"/>
    <mergeCell ref="A44:B44"/>
    <mergeCell ref="H44:J44"/>
    <mergeCell ref="B1:D1"/>
    <mergeCell ref="I1:J1"/>
    <mergeCell ref="B2:D2"/>
    <mergeCell ref="B3:D3"/>
    <mergeCell ref="B4:D4"/>
    <mergeCell ref="B5:D5"/>
    <mergeCell ref="B6:D6"/>
    <mergeCell ref="B7:D7"/>
    <mergeCell ref="B8:D8"/>
    <mergeCell ref="B9:D9"/>
    <mergeCell ref="B10:D10"/>
    <mergeCell ref="B11:D11"/>
    <mergeCell ref="B12:D12"/>
    <mergeCell ref="B13:D13"/>
    <mergeCell ref="B14:D14"/>
    <mergeCell ref="B15:D15"/>
    <mergeCell ref="A16:D16"/>
    <mergeCell ref="A17:D31"/>
    <mergeCell ref="A33:E33"/>
    <mergeCell ref="F33:J33"/>
    <mergeCell ref="A34:B34"/>
    <mergeCell ref="H34:J34"/>
    <mergeCell ref="C34:E34"/>
    <mergeCell ref="F34:G34"/>
    <mergeCell ref="A35:B35"/>
    <mergeCell ref="C35:E35"/>
    <mergeCell ref="F35:G35"/>
    <mergeCell ref="H35:J35"/>
    <mergeCell ref="A36:B36"/>
    <mergeCell ref="H36:J36"/>
    <mergeCell ref="C36:E36"/>
    <mergeCell ref="F36:G36"/>
    <mergeCell ref="A37:B37"/>
    <mergeCell ref="C37:E37"/>
    <mergeCell ref="F37:G37"/>
    <mergeCell ref="H37:J37"/>
    <mergeCell ref="A38:B38"/>
    <mergeCell ref="H38:J38"/>
    <mergeCell ref="C38:E38"/>
    <mergeCell ref="F38:G38"/>
    <mergeCell ref="A39:B39"/>
    <mergeCell ref="C39:E39"/>
    <mergeCell ref="F39:G39"/>
    <mergeCell ref="H39:J39"/>
    <mergeCell ref="A40:B40"/>
    <mergeCell ref="H40:J40"/>
    <mergeCell ref="C46:E46"/>
    <mergeCell ref="F46:G46"/>
    <mergeCell ref="H46:J46"/>
    <mergeCell ref="A48:J49"/>
    <mergeCell ref="A50:J68"/>
    <mergeCell ref="D70:F70"/>
    <mergeCell ref="A71:J71"/>
    <mergeCell ref="A72:A81"/>
    <mergeCell ref="D74:F74"/>
    <mergeCell ref="A82:J82"/>
    <mergeCell ref="D83:F83"/>
    <mergeCell ref="D84:F84"/>
    <mergeCell ref="D85:F85"/>
    <mergeCell ref="D86:F86"/>
    <mergeCell ref="D87:F87"/>
    <mergeCell ref="D88:F88"/>
    <mergeCell ref="C44:E44"/>
    <mergeCell ref="F44:G44"/>
    <mergeCell ref="A45:B45"/>
    <mergeCell ref="C45:E45"/>
    <mergeCell ref="F45:G45"/>
    <mergeCell ref="H45:J45"/>
    <mergeCell ref="A46:B46"/>
    <mergeCell ref="D72:F72"/>
    <mergeCell ref="D73:F73"/>
    <mergeCell ref="B72:B74"/>
    <mergeCell ref="B75:B78"/>
    <mergeCell ref="A83:A104"/>
    <mergeCell ref="B83:B90"/>
    <mergeCell ref="B91:B95"/>
    <mergeCell ref="D75:F75"/>
    <mergeCell ref="D76:F76"/>
    <mergeCell ref="D77:F77"/>
    <mergeCell ref="D78:F78"/>
    <mergeCell ref="B79:B81"/>
    <mergeCell ref="D79:F79"/>
    <mergeCell ref="D80:F80"/>
    <mergeCell ref="D81:F81"/>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F102"/>
    <mergeCell ref="D108:F108"/>
    <mergeCell ref="D109:F109"/>
    <mergeCell ref="D110:F110"/>
    <mergeCell ref="D111:F111"/>
    <mergeCell ref="D112:F112"/>
    <mergeCell ref="D113:F113"/>
    <mergeCell ref="D114:F114"/>
    <mergeCell ref="D115:F115"/>
    <mergeCell ref="B105:B116"/>
    <mergeCell ref="B117:B119"/>
    <mergeCell ref="D117:F117"/>
    <mergeCell ref="D118:F118"/>
    <mergeCell ref="D153:F153"/>
    <mergeCell ref="D154:F154"/>
    <mergeCell ref="A161:J161"/>
    <mergeCell ref="D146:F146"/>
    <mergeCell ref="D147:F147"/>
    <mergeCell ref="D148:F148"/>
    <mergeCell ref="D149:F149"/>
    <mergeCell ref="D150:F150"/>
    <mergeCell ref="D151:F151"/>
    <mergeCell ref="D152:F152"/>
    <mergeCell ref="D163:F163"/>
    <mergeCell ref="D164:F164"/>
    <mergeCell ref="D155:F155"/>
    <mergeCell ref="D156:F156"/>
    <mergeCell ref="D157:F157"/>
    <mergeCell ref="D158:F158"/>
    <mergeCell ref="D159:F159"/>
    <mergeCell ref="D160:F160"/>
    <mergeCell ref="D162:F162"/>
    <mergeCell ref="D119:F119"/>
    <mergeCell ref="B120:B122"/>
    <mergeCell ref="D120:F120"/>
    <mergeCell ref="D121:F121"/>
    <mergeCell ref="D122:F122"/>
    <mergeCell ref="B123:B125"/>
    <mergeCell ref="D123:F123"/>
    <mergeCell ref="D124:F124"/>
    <mergeCell ref="D125:F125"/>
    <mergeCell ref="A130:A160"/>
    <mergeCell ref="B130:B134"/>
    <mergeCell ref="B135:B139"/>
    <mergeCell ref="B140:B152"/>
    <mergeCell ref="B153:B160"/>
    <mergeCell ref="B162:B166"/>
    <mergeCell ref="B167:B172"/>
    <mergeCell ref="D103:F103"/>
    <mergeCell ref="D104:F104"/>
    <mergeCell ref="A105:A129"/>
    <mergeCell ref="D105:F105"/>
    <mergeCell ref="D106:F106"/>
    <mergeCell ref="D107:F107"/>
    <mergeCell ref="D116:F116"/>
    <mergeCell ref="B126:B129"/>
    <mergeCell ref="D126:F126"/>
    <mergeCell ref="D127:F127"/>
    <mergeCell ref="D128:F128"/>
    <mergeCell ref="D129:F129"/>
    <mergeCell ref="D130:F130"/>
    <mergeCell ref="D131:F131"/>
    <mergeCell ref="D132:F132"/>
    <mergeCell ref="D133:F133"/>
    <mergeCell ref="D134:F134"/>
    <mergeCell ref="D135:F135"/>
    <mergeCell ref="D136:F136"/>
    <mergeCell ref="D137:F137"/>
    <mergeCell ref="D138:F138"/>
    <mergeCell ref="D165:F165"/>
    <mergeCell ref="D166:F166"/>
    <mergeCell ref="D167:F167"/>
    <mergeCell ref="D168:F168"/>
    <mergeCell ref="D169:F169"/>
    <mergeCell ref="D170:F170"/>
    <mergeCell ref="D171:F171"/>
    <mergeCell ref="D172:F172"/>
    <mergeCell ref="D139:F139"/>
    <mergeCell ref="D140:F140"/>
    <mergeCell ref="D141:F141"/>
    <mergeCell ref="D142:F142"/>
    <mergeCell ref="D143:F143"/>
    <mergeCell ref="D144:F144"/>
    <mergeCell ref="D145:F145"/>
  </mergeCells>
  <conditionalFormatting sqref="G72:G81 G83:G160 G162:G172">
    <cfRule type="cellIs" dxfId="0" priority="1" operator="equal">
      <formula>"✕"</formula>
    </cfRule>
  </conditionalFormatting>
  <dataValidations>
    <dataValidation type="list" allowBlank="1" sqref="G72:G81 G83:G160 G162:G172">
      <formula1>"〇,△,✕"</formula1>
    </dataValidation>
  </dataValidations>
  <hyperlinks>
    <hyperlink r:id="rId1" ref="I154"/>
  </hyperlinks>
  <printOptions gridLines="1" horizontalCentered="1"/>
  <pageMargins bottom="0.75" footer="0.0" header="0.0" left="0.7" right="0.7" top="0.75"/>
  <pageSetup fitToHeight="0" paperSize="9" cellComments="atEnd" orientation="portrait" pageOrder="overThenDown"/>
  <drawing r:id="rId2"/>
</worksheet>
</file>