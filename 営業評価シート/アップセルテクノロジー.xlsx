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営業評価シート" sheetId="1" r:id="rId4"/>
  </sheets>
  <definedNames/>
  <calcPr/>
</workbook>
</file>

<file path=xl/sharedStrings.xml><?xml version="1.0" encoding="utf-8"?>
<sst xmlns="http://schemas.openxmlformats.org/spreadsheetml/2006/main" count="355" uniqueCount="240">
  <si>
    <t>商談企業名：</t>
  </si>
  <si>
    <t>アップセルテクノロジー</t>
  </si>
  <si>
    <t>Q＆A</t>
  </si>
  <si>
    <t>日付：</t>
  </si>
  <si>
    <t>見た目</t>
  </si>
  <si>
    <t>弊社→先方質問内容</t>
  </si>
  <si>
    <t>回答</t>
  </si>
  <si>
    <t>商談先HP：</t>
  </si>
  <si>
    <t>https://upselltech-group.co.jp</t>
  </si>
  <si>
    <t>環境整備</t>
  </si>
  <si>
    <t>どのようなCTI/AIツールを使用していますか？</t>
  </si>
  <si>
    <t>自社開発のコールシステム「アップルクラウド」を使用、アカウント単価は5,800円、現在コールシステムをアップデート中</t>
  </si>
  <si>
    <t>先方営業担当者：</t>
  </si>
  <si>
    <t>事前情報</t>
  </si>
  <si>
    <t>パートタイムスタッフの教育・育成をどのように行っていますか？</t>
  </si>
  <si>
    <t>創業以来、社内研修資料を作成、ほとんどのスタッフは未経験者（悪い癖のある経験者は避けている）、マネージャーによる個別コーチング、トークスクリプトの分析、断り文句の追跡、定量的なパフォーマンス監視、スタッフの成功体験の創出</t>
  </si>
  <si>
    <t>営業担当者役職：</t>
  </si>
  <si>
    <t>最低契約期間は？</t>
  </si>
  <si>
    <t>最低契約期間：3ヶ月</t>
  </si>
  <si>
    <t>CrowdSearch担当者：</t>
  </si>
  <si>
    <t>後藤、藤本</t>
  </si>
  <si>
    <t>非言語力</t>
  </si>
  <si>
    <t>解約ポリシーは？</t>
  </si>
  <si>
    <t>途中解約不可解約の場合は契約金額全額を支払う解約条件は契約書に明記</t>
  </si>
  <si>
    <t>録画リンク：</t>
  </si>
  <si>
    <t>https://tldv.io/app/meetings/68ccf13d5e85400013546803</t>
  </si>
  <si>
    <t>言語力</t>
  </si>
  <si>
    <t>文字起こしリンク：</t>
  </si>
  <si>
    <t>アップセルテクノロジー文字起こし.pdf</t>
  </si>
  <si>
    <t>営業資料リンク：</t>
  </si>
  <si>
    <t>【資料】株式会社locare（アップセルテクノロジィーズ株式会社）.pdf</t>
  </si>
  <si>
    <t>総合数値</t>
  </si>
  <si>
    <t>商談前ＩＳ</t>
  </si>
  <si>
    <t>商談態勢</t>
  </si>
  <si>
    <t>営業人間力</t>
  </si>
  <si>
    <t>商談対応力</t>
  </si>
  <si>
    <t>商談後フォロー</t>
  </si>
  <si>
    <t>■商談画像スクリーンショット</t>
  </si>
  <si>
    <t>先方→弊社質問内容</t>
  </si>
  <si>
    <t>現在、社内で電話営業を行っていますか？</t>
  </si>
  <si>
    <t>以前はアイドマホールディングスのサービスを利用、現在、ママワークスから5名のパートタイムワーカーを雇用、これらの workers がハウスリストへの電話対応を担当、ワーカーの稼働能力は限定的（0.2-0.7の稼働単位）</t>
  </si>
  <si>
    <t>型の徹底度</t>
  </si>
  <si>
    <t>リストの品質と管理に関する暗黙の質問</t>
  </si>
  <si>
    <t>パチンコ店の連絡先を約7,000件保有、人事異動により常に最新の情報とは限らない、現在の転換率：ハウスリスト：3-6%（平均4.5%）外部リスト：約1-2%</t>
  </si>
  <si>
    <t>資料活用レベル</t>
  </si>
  <si>
    <t>注力分野とビジネス拡大の計画は？</t>
  </si>
  <si>
    <t>現在はパチンコ店向けWebマーケティングサポートに注力、完全オンラインで全国対応、将来的な拡大の可能性：地域の不動産賃貸業
、小規模なインフラ関連の地域ビジネス、現時点では仮説段階で、具体的な実施には至っていない</t>
  </si>
  <si>
    <t>トーク完コピレベル</t>
  </si>
  <si>
    <t>虎の巻 事前準備アクション徹底</t>
  </si>
  <si>
    <t>虎の巻 課題解決徹底</t>
  </si>
  <si>
    <t>虎の巻 テクニック徹底</t>
  </si>
  <si>
    <t>【AIを用いたHP情報整理】</t>
  </si>
  <si>
    <t>【商談での情報整理】</t>
  </si>
  <si>
    <t>項目</t>
  </si>
  <si>
    <t>内容</t>
  </si>
  <si>
    <t>サービス概要</t>
  </si>
  <si>
    <t>PUT事業(AI開発・提供)、ライセンス事業、インサイドセールス事業、トラベルエージェント事業</t>
  </si>
  <si>
    <t>B2B向けリンク型営業支援サービス</t>
  </si>
  <si>
    <t>サービスのビジネスモデル</t>
  </si>
  <si>
    <t>成果報酬型を取り入れた営業プロセス全体支援</t>
  </si>
  <si>
    <t>1名専任（リンク）型の営業代行</t>
  </si>
  <si>
    <t>サービスの強み</t>
  </si>
  <si>
    <t>柔軟性・教育体制・データ分析</t>
  </si>
  <si>
    <t>他社との違い</t>
  </si>
  <si>
    <t>成果報酬型の導入、営業プロセス全他を代行できる、ワンストップ支援</t>
  </si>
  <si>
    <t>柔軟できめ細かいサポート体制</t>
  </si>
  <si>
    <t>料金プラン・料金形態</t>
  </si>
  <si>
    <t>月額固定型（1人あたり60万円）</t>
  </si>
  <si>
    <t>最低料金</t>
  </si>
  <si>
    <t>月額60万円〜</t>
  </si>
  <si>
    <t>最短契約期間</t>
  </si>
  <si>
    <t>3ヶ月</t>
  </si>
  <si>
    <t>導入企業の声、情報</t>
  </si>
  <si>
    <t>大手企業からスタートアップ企業まで幅広く導入</t>
  </si>
  <si>
    <t>途中解約有無</t>
  </si>
  <si>
    <t>不可（実質）</t>
  </si>
  <si>
    <t>類似サービス、料金の競合企業</t>
  </si>
  <si>
    <t>リスト作成ツール</t>
  </si>
  <si>
    <t>コールスタッフの求人掲載有無</t>
  </si>
  <si>
    <t>有</t>
  </si>
  <si>
    <t>ＣＴＩ</t>
  </si>
  <si>
    <t>自社開発「アップルクラウド」</t>
  </si>
  <si>
    <t>コールスタッフ求人URL</t>
  </si>
  <si>
    <t>アップセルテクノロジィーズ 採用サイト</t>
  </si>
  <si>
    <t>競合会社認識</t>
  </si>
  <si>
    <t>転職口コミサイトの声（退職率など）</t>
  </si>
  <si>
    <t>1時間当たり架電件数・アポ率エビデンス</t>
  </si>
  <si>
    <t>時間あたり約20コール。</t>
  </si>
  <si>
    <t>【全体統括コメント】</t>
  </si>
  <si>
    <t>全体統括コメント 🎯
サービスの本質的な価値 💡
強み：柔軟性と顧客密着型アプローチ
アップセルテクノロジーズの最大の特徴は、画一的なサービスではなく、顧客の具体的なニーズに寄り添う柔軟なアプローチにあります。
特に評価すべき点
カスタマイズ能力
固定プランではなく、顧客の要望に応じて柔軟に設計可能
業界特性（今回はパチンコ業界）を深く理解しようとする姿勢
データ駆動型マネジメント
定量的な分析に基づく継続的な改善
個々のプレイヤーのパフォーマンスを詳細に追跡
人材育成へのこだわり
未経験者中心の採用
徹底的な教育と成長支援
潜在的な課題 🚧
スケーラビリティ
現状は小規模案件中心
大規模案件への対応力の検証が必要
人材の安定性
アルバイト・業務委託中心のため、長期的な人材確保に不安
市場での位置づけ 🌐
ニッチ市場への特化戦略
きめ細かいサービスによる差別化
総合評価 ⭐
柔軟性×データ×育成 を武器に、従来の営業代行サービスとは一線を画す、顧客密着型のソリューションを提供する可能性を秘めたサービス。
推奨される次のステップ 🚀
より大規模な業界への展開可能性の検証
人材育成モデルの体系化
データ分析基盤のさらなる強化</t>
  </si>
  <si>
    <t>チェックプロセス</t>
  </si>
  <si>
    <t>NO</t>
  </si>
  <si>
    <t xml:space="preserve"> 評価</t>
  </si>
  <si>
    <t>点数</t>
  </si>
  <si>
    <t>基準</t>
  </si>
  <si>
    <t>備考</t>
  </si>
  <si>
    <t>商談前</t>
  </si>
  <si>
    <t>商談前
IS</t>
  </si>
  <si>
    <t>速度</t>
  </si>
  <si>
    <t>HP問い合わせに対してのレスポンス速度</t>
  </si>
  <si>
    <t>〇</t>
  </si>
  <si>
    <t>〇：6時間以内
△：24時間以内
✕：24時間以上</t>
  </si>
  <si>
    <t>24時間以上の場合は記載</t>
  </si>
  <si>
    <t>商談前段階における連絡の基本的な返信速度（平均）</t>
  </si>
  <si>
    <t>メールでのラリー回数は少なく、スムーズに日程調整ができた。</t>
  </si>
  <si>
    <t>〇：ラリー回数1~2
△：ラリー回数2~3
✕：3往復以上のラリー</t>
  </si>
  <si>
    <t>✕の具体的内容↓</t>
  </si>
  <si>
    <t>丁寧さ</t>
  </si>
  <si>
    <t>問い合わせに対しての返信はテンプレートではなく自社に合わせた形での連絡だったか。</t>
  </si>
  <si>
    <t>〇：自社に合わせた返信
✕：テンプレートと判断できる</t>
  </si>
  <si>
    <t>メールの文面は言葉遣いが丁寧で、誤字脱字がなく、不快感や違和感を感じるところはなかったか。</t>
  </si>
  <si>
    <t>〇：一切懸念なし
△：若干の懸念を感じる
✕：違和感、懸念を強く感じる</t>
  </si>
  <si>
    <t>△✕の具体的内容↓</t>
  </si>
  <si>
    <t>メールで記載されていた候補日時はスケジューラーURLではなくテキストで送ってきた。</t>
  </si>
  <si>
    <t>✕</t>
  </si>
  <si>
    <t>〇：テキストのみ候補日程多
△：テキストのみ候補日程少
✕：スケジューラー添付のみ</t>
  </si>
  <si>
    <t>メールで事前に資料が共有された。</t>
  </si>
  <si>
    <t>〇：2つ以上の共有あり
△：1つのみ共有有
✕：共有なし</t>
  </si>
  <si>
    <t>事前資料の内容↓</t>
  </si>
  <si>
    <t>仕組み</t>
  </si>
  <si>
    <t>メールでの連絡を希望していたにも関わらず電話をかけていないか</t>
  </si>
  <si>
    <t>〇：希望通りメールで連携
△：電話をかけてきた。
✕：電話を繰り返しかけてきた。</t>
  </si>
  <si>
    <t>メールに事前質問は記載されていたか？</t>
  </si>
  <si>
    <t>〇：3つ以上の質問記載
△：～3つ以内の質問記載
✕：質問記載なし</t>
  </si>
  <si>
    <t>事前質問内容添付↓</t>
  </si>
  <si>
    <t>商談前のリマインド連絡があった。</t>
  </si>
  <si>
    <t>〇：前日と当日リマインド
△：当日リマインド
✕：リマインドなし</t>
  </si>
  <si>
    <t>タイミング↓</t>
  </si>
  <si>
    <t>商談</t>
  </si>
  <si>
    <t>オンライン環境</t>
  </si>
  <si>
    <t>wifiなど、通信環境は安定しているか？(遅延△、切断×)</t>
  </si>
  <si>
    <t>オンラインの入室はオンタイムで参加したか？</t>
  </si>
  <si>
    <t>〇：オンタイム1~3分前
△：オンタイム
✕：遅刻</t>
  </si>
  <si>
    <t>カメラに映る背景は適切か？</t>
  </si>
  <si>
    <t>〇：背景画像利用あり
△：背景画像無、オフィス内
✕：ビジネスシーンに不適切な背景</t>
  </si>
  <si>
    <t>音声は遠く聞こえたりハウリングすることなくクリアに聞こえているか？</t>
  </si>
  <si>
    <t>騒音・雑音が横から聞こえないか？</t>
  </si>
  <si>
    <t>△</t>
  </si>
  <si>
    <t>すごく気になるわけではないが、若干聞こえる。</t>
  </si>
  <si>
    <t>自分の顔が明るく見える照明の明るさか？</t>
  </si>
  <si>
    <t>生首状態や顔が見切れるなど、画角は問題ないか？</t>
  </si>
  <si>
    <t>資料の画面共有に時間を要していないか？</t>
  </si>
  <si>
    <t>外見</t>
  </si>
  <si>
    <t>ビジネスシーンに合わせた服装をしているか？（スーツ、ジャケット）</t>
  </si>
  <si>
    <t>過度なアクセサリーはつけていないか？</t>
  </si>
  <si>
    <t>髪は清潔か？</t>
  </si>
  <si>
    <t>ひげは剃っているか？or 適度な化粧はしているか？</t>
  </si>
  <si>
    <t>姿勢は崩れていないか？</t>
  </si>
  <si>
    <t>自己紹介資料の準備はあったか？</t>
  </si>
  <si>
    <t>資料のデザインは洗練されているか？</t>
  </si>
  <si>
    <t>パワーポイントのテンプレートや一般的なデザインフォーマットを使用したものではないか？</t>
  </si>
  <si>
    <t>資料</t>
  </si>
  <si>
    <t>画面共有された状態で文字が読みやすいような大きさになっているか？</t>
  </si>
  <si>
    <t>会社ごとにあわせた提案資料を用意しているか？</t>
  </si>
  <si>
    <t>料金プランの内容は理解しやすく、誤認が発生しない内容か？</t>
  </si>
  <si>
    <t>サービス提供フローはスケジュール感も含めて明確に記載されているか？</t>
  </si>
  <si>
    <t>資料に事例が記載されているか？</t>
  </si>
  <si>
    <t>具体的な数字をもとに費用対効果や価値が記載されているか？</t>
  </si>
  <si>
    <t>非言語</t>
  </si>
  <si>
    <t>自然に笑顔をつくっているか？</t>
  </si>
  <si>
    <t>褒める言葉を気後れせずに伝えられているか？</t>
  </si>
  <si>
    <t>声の大きさは大きいか？</t>
  </si>
  <si>
    <t>話す速度は営業先に合わせているか？</t>
  </si>
  <si>
    <t>声の抑揚はあるか？</t>
  </si>
  <si>
    <t>身振り手振りを行っているか？</t>
  </si>
  <si>
    <t>相手が話していることに相づちを打ったり、頷きはあるか？(多少、大げさでもOK)</t>
  </si>
  <si>
    <t>伝えたいポイントをカーソルやペンでなぞっているか？</t>
  </si>
  <si>
    <t>不快感を持たないか？(説明、対応、返答など)</t>
  </si>
  <si>
    <t>言動や対応に違和感・不審感は無いか？</t>
  </si>
  <si>
    <t>ペンで書いた文字はきれいか？</t>
  </si>
  <si>
    <t>画面にたいして、正面を向いているか？</t>
  </si>
  <si>
    <t>相手への理解度</t>
  </si>
  <si>
    <t>相手の業界の知識を持ち合わせているか？この人はわかっている！と思えるか？</t>
  </si>
  <si>
    <t>相手の商材について、イメージを持っているか？近しい業界の事例などを伝えられているか？</t>
  </si>
  <si>
    <t>ビジネスモデルの理解ができているか？キャッシュポイントなどを認識して、仮説を伝えているか？</t>
  </si>
  <si>
    <t>表情</t>
  </si>
  <si>
    <t>沈黙に不安な顔をしていないか</t>
  </si>
  <si>
    <t>相手におびえていないか？</t>
  </si>
  <si>
    <t>自社からの質問にイライラしていないか？不快感を顔に出していないか？</t>
  </si>
  <si>
    <t>言動</t>
  </si>
  <si>
    <t>○○社長/代表/様と呼んでいるか</t>
  </si>
  <si>
    <t>貢献できます。など断言ができているか？※嘘はNG</t>
  </si>
  <si>
    <t>沈黙のアテンションがあるか？</t>
  </si>
  <si>
    <t>気遣い</t>
  </si>
  <si>
    <t>咳をするときや、相手の話をしっかり聞きたいときにマイクオフにするといった気配りがあるか？</t>
  </si>
  <si>
    <t>リレーションは築けているか？(最後に雑談等)</t>
  </si>
  <si>
    <t>最後に大きな声で御礼が言えているか？</t>
  </si>
  <si>
    <t>向こうが画面を切るまで待っているか？</t>
  </si>
  <si>
    <t xml:space="preserve">商談対応力
</t>
  </si>
  <si>
    <t>冒頭</t>
  </si>
  <si>
    <t>冒頭大きな声でさわやかに挨拶できているか？</t>
  </si>
  <si>
    <t>音声の聞こえ方やカメラ画面の見え方に違和感などがないか確認しているか？</t>
  </si>
  <si>
    <t>いきなり質問から始めるのではなく商談の方向性や流れを明確にしてからスタートしているか？</t>
  </si>
  <si>
    <t>商談担当者の自己紹介は行っているか？</t>
  </si>
  <si>
    <t>打ち合わせのタイムスケジュール感を冒頭ですり合わせているか？</t>
  </si>
  <si>
    <t>質問</t>
  </si>
  <si>
    <t>商談をされる側が不快感を示すような一方的な質問責めをしていないか？</t>
  </si>
  <si>
    <t>HPや事前情報を調べれば把握できるような質問をしていないか？</t>
  </si>
  <si>
    <t>質問に回答した後の相槌や反応はしているか？</t>
  </si>
  <si>
    <t>質問に回答した後のメモに時間を要して沈黙の時間を生んでいないか？</t>
  </si>
  <si>
    <t>質問回答後に「ありがとうございます」と御礼を伝えているか？</t>
  </si>
  <si>
    <t>サービス説明</t>
  </si>
  <si>
    <t>自社の会社概要について話しているか？</t>
  </si>
  <si>
    <t>提供するサービスのビジネスモデルを分かりやすく簡潔に話しているか？</t>
  </si>
  <si>
    <t>ビジネスモデルは企業HP記載の内容と一致しているか？(虚偽、誇大記載はしていないか？)</t>
  </si>
  <si>
    <t>他社との違いや優位性について触れているか？</t>
  </si>
  <si>
    <t>事例共有は営業を受ける側に近い事例を準備し、説明しているか？</t>
  </si>
  <si>
    <t>具体的な数値効果について仮説を交えながらわかりやすく説明しているか？</t>
  </si>
  <si>
    <t>一方的なサービス説明に終始するのではなく、中間で質疑応答の時間を設けているか？</t>
  </si>
  <si>
    <t>サービスフローはスケジュール感を交えて説明できているか？</t>
  </si>
  <si>
    <t>料金プランは一部を切り出して説明するのではなく、全体でかかる費用を網羅的に説明できているか？</t>
  </si>
  <si>
    <t>リスクやデメリットについても説明しているか？</t>
  </si>
  <si>
    <t>営業を受けている側のニーズに合わせた提案を行っているか？</t>
  </si>
  <si>
    <t>質問に対して結論ファーストで簡潔に回答できているか？</t>
  </si>
  <si>
    <t>自社・他社情報を共有する際には情報セキュリティに十分に配慮できているか？</t>
  </si>
  <si>
    <t>管理画面などを見せていたらＮＧ</t>
  </si>
  <si>
    <t>クロージング</t>
  </si>
  <si>
    <t>BANT情報を聞けているか？</t>
  </si>
  <si>
    <t>導入に向けた懸念点を聞き出しているか？（テストクロージング）</t>
  </si>
  <si>
    <t xml:space="preserve">https://www.wawaoffice.jp/wawawork/bant/  </t>
  </si>
  <si>
    <t>金額懸念に対しての交渉に応じる姿勢は見せているか？</t>
  </si>
  <si>
    <t>ネクストアクションの提案やすり合わせを行っているか？</t>
  </si>
  <si>
    <t>決裁者を交えた次回打ち合わせ日程調整の打診を行っているか？</t>
  </si>
  <si>
    <t>検討期限を区切っているか？</t>
  </si>
  <si>
    <t>金額に対しての価値が伝わっており、価格に対し安いと思える価値訴求ができているか？</t>
  </si>
  <si>
    <t>強引なクロージングで終えるのではなく気分の良い終話だったか</t>
  </si>
  <si>
    <t>商談後</t>
  </si>
  <si>
    <t>商談後対応</t>
  </si>
  <si>
    <t>商談後のサンクスメールは最速で送られてきたか？</t>
  </si>
  <si>
    <t>サンクスメールは商談企業ごとに内容を合わせて送っているか？</t>
  </si>
  <si>
    <t>商談後に追加質問を送った後の回答返信速度</t>
  </si>
  <si>
    <t>商談で区切った検討期限日時にフォローの連絡があったか</t>
  </si>
  <si>
    <t>営業資料だけではなく事例や提案資料など検討材料になりえる資料の共有があったか</t>
  </si>
  <si>
    <t>全体評価</t>
  </si>
  <si>
    <t>会社自体に信頼性を感じることができたか？</t>
  </si>
  <si>
    <t>サービス自体に信頼性を持てると感じることはできたか？</t>
  </si>
  <si>
    <t>営業マンの対応は正直かつ誠実で好印象を持つことはできたか？</t>
  </si>
  <si>
    <t>相手の立場にたった商談だったと評価することはできるか？</t>
  </si>
  <si>
    <t>サービス内容はわかりやすく、商談の時間で理解しきることはできたか？</t>
  </si>
  <si>
    <t>営業代行会社への発注をしている企業に勧めたいと思えたか？</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</si>
</sst>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quot;点&quot;"/>
  </numFmts>
  <fonts count="34">
    <font>
      <sz val="10.0"/>
      <color rgb="FF000000"/>
      <name val="Arial"/>
      <scheme val="minor"/>
    </font>
    <font>
      <b/>
      <sz val="13.0"/>
      <color rgb="FF000000"/>
      <name val="Arial"/>
    </font>
    <font>
      <sz val="10.0"/>
      <color rgb="FF000000"/>
      <name val="Arial"/>
    </font>
    <font/>
    <font>
      <sz val="10.0"/>
      <color rgb="FF000000"/>
      <name val="&quot;Meiryo UI&quot;"/>
    </font>
    <font>
      <sz val="10.0"/>
      <color rgb="FFFFFFFF"/>
      <name val="&quot;Meiryo UI&quot;"/>
    </font>
    <font>
      <b/>
      <sz val="14.0"/>
      <color theme="1"/>
      <name val="Arial"/>
      <scheme val="minor"/>
    </font>
    <font>
      <b/>
      <sz val="10.0"/>
      <color rgb="FF000000"/>
      <name val="Arial"/>
    </font>
    <font>
      <sz val="10.0"/>
      <color rgb="FFFFFFFF"/>
      <name val="Arial"/>
    </font>
    <font>
      <color rgb="FF000000"/>
      <name val="Arial"/>
      <scheme val="minor"/>
    </font>
    <font>
      <u/>
      <sz val="10.0"/>
      <color rgb="FF000000"/>
      <name val="Arial"/>
    </font>
    <font>
      <b/>
      <sz val="10.0"/>
      <color rgb="FF000000"/>
      <name val="&quot;Work Sans&quot;"/>
    </font>
    <font>
      <color rgb="FFFFFFFF"/>
      <name val="Arial"/>
      <scheme val="minor"/>
    </font>
    <font>
      <b/>
      <color rgb="FF000000"/>
      <name val="Arial"/>
      <scheme val="minor"/>
    </font>
    <font>
      <u/>
      <sz val="10.0"/>
      <color rgb="FF0000FF"/>
      <name val="Arial"/>
    </font>
    <font>
      <u/>
      <sz val="10.0"/>
      <color theme="1"/>
      <name val="Arial"/>
    </font>
    <font>
      <b/>
      <color theme="1"/>
      <name val="Arial"/>
      <scheme val="minor"/>
    </font>
    <font>
      <u/>
      <sz val="10.0"/>
      <color rgb="FF000000"/>
      <name val="Arial"/>
    </font>
    <font>
      <b/>
      <sz val="12.0"/>
      <color theme="0"/>
      <name val="Arial"/>
      <scheme val="minor"/>
    </font>
    <font>
      <b/>
      <sz val="18.0"/>
      <color rgb="FF000000"/>
      <name val="&quot;Meiryo UI&quot;"/>
    </font>
    <font>
      <color theme="1"/>
      <name val="Arial"/>
      <scheme val="minor"/>
    </font>
    <font>
      <b/>
      <sz val="10.0"/>
      <color theme="0"/>
      <name val="&quot;Meiryo UI&quot;"/>
    </font>
    <font>
      <b/>
      <sz val="10.0"/>
      <color rgb="FFFFFFFF"/>
      <name val="Arial"/>
    </font>
    <font>
      <b/>
      <sz val="18.0"/>
      <color rgb="FF000000"/>
      <name val="Arial"/>
    </font>
    <font>
      <b/>
      <sz val="10.0"/>
      <color rgb="FFFFFFFF"/>
      <name val="&quot;Meiryo UI&quot;"/>
    </font>
    <font>
      <b/>
      <sz val="8.0"/>
      <color theme="0"/>
      <name val="Arial"/>
    </font>
    <font>
      <color rgb="FFFFFFFF"/>
      <name val="Arial"/>
    </font>
    <font>
      <b/>
      <sz val="10.0"/>
      <color theme="0"/>
      <name val="Arial"/>
    </font>
    <font>
      <b/>
      <sz val="24.0"/>
      <color rgb="FF000000"/>
      <name val="Arial"/>
    </font>
    <font>
      <b/>
      <sz val="12.0"/>
      <color rgb="FF000000"/>
      <name val="Arial"/>
    </font>
    <font>
      <b/>
      <sz val="17.0"/>
      <color rgb="FFFFFFFF"/>
      <name val="Arial"/>
    </font>
    <font>
      <b/>
      <sz val="11.0"/>
      <color rgb="FF000000"/>
      <name val="Arial"/>
    </font>
    <font>
      <color theme="1"/>
      <name val="Arial"/>
    </font>
    <font>
      <u/>
      <sz val="10.0"/>
      <color rgb="FF000000"/>
      <name val="Arial"/>
    </font>
  </fonts>
  <fills count="15">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FFFFFF"/>
        <bgColor rgb="FFFFFFFF"/>
      </patternFill>
    </fill>
    <fill>
      <patternFill patternType="solid">
        <fgColor rgb="FF000000"/>
        <bgColor rgb="FF000000"/>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B6D7A8"/>
        <bgColor rgb="FFB6D7A8"/>
      </patternFill>
    </fill>
  </fills>
  <borders count="65">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ttom style="dotted">
        <color rgb="FF000000"/>
      </bottom>
    </border>
    <border>
      <right style="thick">
        <color rgb="FF000000"/>
      </right>
    </border>
    <border>
      <left style="thick">
        <color rgb="FF000000"/>
      </left>
      <right style="thick">
        <color rgb="FF000000"/>
      </right>
      <top style="dotted">
        <color rgb="FF000000"/>
      </top>
      <bottom style="dotted">
        <color rgb="FF000000"/>
      </bottom>
    </border>
    <border>
      <right style="thick">
        <color rgb="FF000000"/>
      </right>
      <top style="dotted">
        <color rgb="FF000000"/>
      </top>
    </border>
    <border>
      <right style="thick">
        <color rgb="FF000000"/>
      </right>
      <top style="dotted">
        <color rgb="FF000000"/>
      </top>
      <bottom style="dotted">
        <color rgb="FF000000"/>
      </bottom>
    </border>
    <border>
      <left style="thick">
        <color rgb="FF000000"/>
      </left>
      <right style="thick">
        <color rgb="FF000000"/>
      </right>
      <top style="dotted">
        <color rgb="FF000000"/>
      </top>
      <bottom style="thick">
        <color rgb="FF000000"/>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ck">
        <color rgb="FF000000"/>
      </left>
    </border>
    <border>
      <left style="thin">
        <color rgb="FF999999"/>
      </left>
      <bottom style="thin">
        <color rgb="FF999999"/>
      </bottom>
    </border>
    <border>
      <bottom style="thin">
        <color rgb="FF999999"/>
      </bottom>
    </border>
    <border>
      <right style="thin">
        <color rgb="FF999999"/>
      </right>
      <bottom style="thin">
        <color rgb="FF999999"/>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bottom style="dotted">
        <color rgb="FF000000"/>
      </bottom>
    </border>
    <border>
      <right style="thin">
        <color rgb="FF000000"/>
      </right>
      <bottom style="dotted">
        <color rgb="FF000000"/>
      </bottom>
    </border>
    <border>
      <left style="thin">
        <color rgb="FF000000"/>
      </left>
      <bottom style="dotted">
        <color rgb="FF000000"/>
      </bottom>
    </border>
    <border>
      <bottom style="dotted">
        <color rgb="FF000000"/>
      </bottom>
    </border>
    <border>
      <right style="thick">
        <color rgb="FF000000"/>
      </right>
      <bottom style="dotted">
        <color rgb="FF000000"/>
      </bottom>
    </border>
    <border>
      <left style="thick">
        <color rgb="FF000000"/>
      </left>
      <top style="dotted">
        <color rgb="FF000000"/>
      </top>
      <bottom style="dotted">
        <color rgb="FF000000"/>
      </bottom>
    </border>
    <border>
      <right style="thin">
        <color rgb="FF000000"/>
      </right>
      <top style="dotted">
        <color rgb="FF000000"/>
      </top>
      <bottom style="dotted">
        <color rgb="FF000000"/>
      </bottom>
    </border>
    <border>
      <left style="thin">
        <color rgb="FF000000"/>
      </left>
      <top style="dotted">
        <color rgb="FF000000"/>
      </top>
      <bottom style="dotted">
        <color rgb="FF000000"/>
      </bottom>
    </border>
    <border>
      <top style="dotted">
        <color rgb="FF000000"/>
      </top>
      <bottom style="dotted">
        <color rgb="FF000000"/>
      </bottom>
    </border>
    <border>
      <left style="thick">
        <color rgb="FF000000"/>
      </left>
      <top style="dotted">
        <color rgb="FF000000"/>
      </top>
      <bottom style="thick">
        <color rgb="FF000000"/>
      </bottom>
    </border>
    <border>
      <right style="thin">
        <color rgb="FF000000"/>
      </right>
      <top style="dotted">
        <color rgb="FF000000"/>
      </top>
      <bottom style="thick">
        <color rgb="FF000000"/>
      </bottom>
    </border>
    <border>
      <left style="thin">
        <color rgb="FF000000"/>
      </left>
      <top style="dotted">
        <color rgb="FF000000"/>
      </top>
      <bottom style="thick">
        <color rgb="FF000000"/>
      </bottom>
    </border>
    <border>
      <top style="dotted">
        <color rgb="FF000000"/>
      </top>
      <bottom style="thick">
        <color rgb="FF000000"/>
      </bottom>
    </border>
    <border>
      <right style="thick">
        <color rgb="FF000000"/>
      </right>
      <top style="dotted">
        <color rgb="FF000000"/>
      </top>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999999"/>
      </left>
      <right style="thin">
        <color rgb="FF999999"/>
      </right>
      <top style="thin">
        <color rgb="FF999999"/>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99999"/>
      </left>
      <right style="thin">
        <color rgb="FF000000"/>
      </right>
      <top style="thin">
        <color rgb="FF999999"/>
      </top>
      <bottom style="thin">
        <color rgb="FF000000"/>
      </bottom>
    </border>
    <border>
      <left style="thin">
        <color rgb="FF000000"/>
      </left>
      <right style="thin">
        <color rgb="FF999999"/>
      </right>
      <top style="thin">
        <color rgb="FF999999"/>
      </top>
      <bottom style="thin">
        <color rgb="FF000000"/>
      </bottom>
    </border>
    <border>
      <left style="thin">
        <color rgb="FF999999"/>
      </left>
      <right style="thin">
        <color rgb="FF000000"/>
      </right>
      <top style="thin">
        <color rgb="FF000000"/>
      </top>
      <bottom style="thin">
        <color rgb="FF000000"/>
      </bottom>
    </border>
    <border>
      <left style="thin">
        <color rgb="FF000000"/>
      </left>
      <right style="thin">
        <color rgb="FF999999"/>
      </right>
      <top style="thin">
        <color rgb="FF000000"/>
      </top>
      <bottom style="thin">
        <color rgb="FF000000"/>
      </bottom>
    </border>
    <border>
      <left style="thin">
        <color rgb="FF999999"/>
      </left>
      <right style="thin">
        <color rgb="FF000000"/>
      </right>
      <top style="thin">
        <color rgb="FF000000"/>
      </top>
    </border>
    <border>
      <left style="thin">
        <color rgb="FF000000"/>
      </left>
      <right style="thin">
        <color rgb="FF999999"/>
      </right>
      <top style="thin">
        <color rgb="FF000000"/>
      </top>
    </border>
    <border>
      <left style="thin">
        <color rgb="FF000000"/>
      </left>
      <right style="thin">
        <color rgb="FF000000"/>
      </right>
      <top style="thin">
        <color rgb="FF000000"/>
      </top>
      <bottom style="thin">
        <color rgb="FF000000"/>
      </bottom>
    </border>
    <border>
      <left style="thin">
        <color rgb="FF999999"/>
      </left>
      <right style="thin">
        <color rgb="FF999999"/>
      </right>
    </border>
    <border>
      <left style="thin">
        <color rgb="FF999999"/>
      </left>
      <right style="thin">
        <color rgb="FF999999"/>
      </right>
      <bottom style="thin">
        <color rgb="FF999999"/>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2" fontId="1" numFmtId="0" xfId="0" applyAlignment="1" applyBorder="1" applyFill="1" applyFont="1">
      <alignment horizontal="right" readingOrder="0" shrinkToFit="0" vertical="center" wrapText="0"/>
    </xf>
    <xf borderId="2" fillId="0" fontId="2" numFmtId="0" xfId="0" applyAlignment="1" applyBorder="1" applyFont="1">
      <alignment horizontal="left" readingOrder="0" shrinkToFit="0" vertical="center" wrapText="0"/>
    </xf>
    <xf borderId="3" fillId="0" fontId="3" numFmtId="0" xfId="0" applyBorder="1" applyFont="1"/>
    <xf borderId="4" fillId="0" fontId="3" numFmtId="0" xfId="0" applyBorder="1" applyFont="1"/>
    <xf borderId="0" fillId="0" fontId="4"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4" numFmtId="0" xfId="0" applyAlignment="1" applyFont="1">
      <alignment horizontal="center" readingOrder="0" vertical="center"/>
    </xf>
    <xf borderId="5" fillId="2" fontId="6" numFmtId="0" xfId="0" applyAlignment="1" applyBorder="1" applyFont="1">
      <alignment horizontal="center" readingOrder="0" vertical="center"/>
    </xf>
    <xf borderId="6" fillId="0" fontId="3" numFmtId="0" xfId="0" applyBorder="1" applyFont="1"/>
    <xf borderId="1" fillId="2" fontId="7" numFmtId="0" xfId="0" applyAlignment="1" applyBorder="1" applyFont="1">
      <alignment horizontal="right" readingOrder="0" shrinkToFit="0" vertical="center" wrapText="0"/>
    </xf>
    <xf borderId="2" fillId="0" fontId="2" numFmtId="164" xfId="0" applyAlignment="1" applyBorder="1" applyFont="1" applyNumberFormat="1">
      <alignment horizontal="left" readingOrder="0" shrinkToFit="0" vertical="center" wrapText="0"/>
    </xf>
    <xf borderId="0" fillId="0" fontId="8" numFmtId="0" xfId="0" applyAlignment="1" applyFont="1">
      <alignment horizontal="right" readingOrder="0" vertical="center"/>
    </xf>
    <xf borderId="0" fillId="0" fontId="9" numFmtId="0" xfId="0" applyAlignment="1" applyFont="1">
      <alignment horizontal="center" vertical="center"/>
    </xf>
    <xf borderId="0" fillId="0" fontId="4" numFmtId="165" xfId="0" applyAlignment="1" applyFont="1" applyNumberFormat="1">
      <alignment horizontal="center" readingOrder="0" vertical="center"/>
    </xf>
    <xf borderId="5" fillId="3" fontId="7" numFmtId="0" xfId="0" applyAlignment="1" applyBorder="1" applyFill="1" applyFont="1">
      <alignment horizontal="center" readingOrder="0" vertical="center"/>
    </xf>
    <xf borderId="6" fillId="3" fontId="7" numFmtId="0" xfId="0" applyAlignment="1" applyBorder="1" applyFont="1">
      <alignment horizontal="center" readingOrder="0" vertical="center"/>
    </xf>
    <xf borderId="2" fillId="0" fontId="10" numFmtId="0" xfId="0" applyAlignment="1" applyBorder="1" applyFont="1">
      <alignment horizontal="left" readingOrder="0" shrinkToFit="0" vertical="center" wrapText="0"/>
    </xf>
    <xf borderId="0" fillId="0" fontId="2" numFmtId="165" xfId="0" applyAlignment="1" applyFont="1" applyNumberFormat="1">
      <alignment horizontal="center" readingOrder="0" vertical="center"/>
    </xf>
    <xf borderId="7" fillId="0" fontId="7" numFmtId="0" xfId="0" applyAlignment="1" applyBorder="1" applyFont="1">
      <alignment horizontal="left" readingOrder="0" shrinkToFit="0" vertical="center" wrapText="0"/>
    </xf>
    <xf borderId="8" fillId="4" fontId="11" numFmtId="0" xfId="0" applyAlignment="1" applyBorder="1" applyFill="1" applyFont="1">
      <alignment readingOrder="0" shrinkToFit="0" wrapText="0"/>
    </xf>
    <xf borderId="2" fillId="0" fontId="4" numFmtId="0" xfId="0" applyAlignment="1" applyBorder="1" applyFont="1">
      <alignment horizontal="left" readingOrder="0" shrinkToFit="0" vertical="center" wrapText="0"/>
    </xf>
    <xf borderId="0" fillId="0" fontId="12" numFmtId="0" xfId="0" applyAlignment="1" applyFont="1">
      <alignment horizontal="right" readingOrder="0"/>
    </xf>
    <xf borderId="9" fillId="0" fontId="7" numFmtId="0" xfId="0" applyAlignment="1" applyBorder="1" applyFont="1">
      <alignment horizontal="left" readingOrder="0" shrinkToFit="0" vertical="center" wrapText="0"/>
    </xf>
    <xf borderId="10" fillId="4" fontId="11" numFmtId="0" xfId="0" applyAlignment="1" applyBorder="1" applyFont="1">
      <alignment readingOrder="0" shrinkToFit="0" wrapText="0"/>
    </xf>
    <xf borderId="0" fillId="0" fontId="12" numFmtId="0" xfId="0" applyFont="1"/>
    <xf borderId="0" fillId="0" fontId="9" numFmtId="0" xfId="0" applyFont="1"/>
    <xf borderId="0" fillId="0" fontId="13" numFmtId="0" xfId="0" applyAlignment="1" applyFont="1">
      <alignment readingOrder="0"/>
    </xf>
    <xf borderId="11" fillId="4" fontId="11" numFmtId="0" xfId="0" applyAlignment="1" applyBorder="1" applyFont="1">
      <alignment readingOrder="0" shrinkToFit="0" wrapText="0"/>
    </xf>
    <xf borderId="2" fillId="0" fontId="14" numFmtId="0" xfId="0" applyAlignment="1" applyBorder="1" applyFont="1">
      <alignment horizontal="left" readingOrder="0" shrinkToFit="0" vertical="center" wrapText="0"/>
    </xf>
    <xf borderId="2" fillId="0" fontId="15" numFmtId="0" xfId="0" applyAlignment="1" applyBorder="1" applyFont="1">
      <alignment horizontal="left" readingOrder="0" shrinkToFit="0" vertical="center" wrapText="0"/>
    </xf>
    <xf borderId="1" fillId="2" fontId="16" numFmtId="0" xfId="0" applyAlignment="1" applyBorder="1" applyFont="1">
      <alignment horizontal="right" readingOrder="0" vertical="center"/>
    </xf>
    <xf borderId="2" fillId="0" fontId="17" numFmtId="0" xfId="0" applyAlignment="1" applyBorder="1" applyFont="1">
      <alignment horizontal="center" readingOrder="0" shrinkToFit="0" vertical="center" wrapText="0"/>
    </xf>
    <xf borderId="1" fillId="5" fontId="18" numFmtId="0" xfId="0" applyAlignment="1" applyBorder="1" applyFill="1" applyFont="1">
      <alignment horizontal="right" readingOrder="0" vertical="center"/>
    </xf>
    <xf borderId="2" fillId="0" fontId="19" numFmtId="165" xfId="0" applyAlignment="1" applyBorder="1" applyFont="1" applyNumberFormat="1">
      <alignment horizontal="center" readingOrder="0" shrinkToFit="0" vertical="center" wrapText="0"/>
    </xf>
    <xf borderId="1" fillId="6" fontId="7" numFmtId="0" xfId="0" applyAlignment="1" applyBorder="1" applyFill="1" applyFont="1">
      <alignment horizontal="right" readingOrder="0" vertical="center"/>
    </xf>
    <xf borderId="2" fillId="0" fontId="4" numFmtId="165" xfId="0" applyAlignment="1" applyBorder="1" applyFont="1" applyNumberFormat="1">
      <alignment horizontal="center" readingOrder="0" vertical="center"/>
    </xf>
    <xf borderId="1" fillId="7" fontId="7" numFmtId="0" xfId="0" applyAlignment="1" applyBorder="1" applyFill="1" applyFont="1">
      <alignment horizontal="right" readingOrder="0" vertical="center"/>
    </xf>
    <xf borderId="0" fillId="0" fontId="8" numFmtId="0" xfId="0" applyAlignment="1" applyFont="1">
      <alignment horizontal="center" readingOrder="0" shrinkToFit="0" vertical="center" wrapText="0"/>
    </xf>
    <xf borderId="1" fillId="8" fontId="7" numFmtId="0" xfId="0" applyAlignment="1" applyBorder="1" applyFill="1" applyFont="1">
      <alignment horizontal="right" readingOrder="0" vertical="center"/>
    </xf>
    <xf borderId="0" fillId="0" fontId="12" numFmtId="0" xfId="0" applyAlignment="1" applyFont="1">
      <alignment readingOrder="0"/>
    </xf>
    <xf borderId="1" fillId="3" fontId="7" numFmtId="0" xfId="0" applyAlignment="1" applyBorder="1" applyFont="1">
      <alignment horizontal="right" readingOrder="0" vertical="center"/>
    </xf>
    <xf borderId="1" fillId="9" fontId="7" numFmtId="0" xfId="0" applyAlignment="1" applyBorder="1" applyFill="1" applyFont="1">
      <alignment horizontal="right" readingOrder="0" vertical="center"/>
    </xf>
    <xf borderId="2" fillId="0" fontId="7" numFmtId="0" xfId="0" applyAlignment="1" applyBorder="1" applyFont="1">
      <alignment horizontal="center" readingOrder="0" vertical="center"/>
    </xf>
    <xf borderId="0" fillId="0" fontId="20" numFmtId="0" xfId="0" applyAlignment="1" applyFont="1">
      <alignment horizontal="center" vertical="center"/>
    </xf>
    <xf borderId="0" fillId="0" fontId="7" numFmtId="0" xfId="0" applyAlignment="1" applyFont="1">
      <alignment horizontal="center" readingOrder="0" vertical="center"/>
    </xf>
    <xf borderId="12" fillId="0" fontId="7" numFmtId="0" xfId="0" applyAlignment="1" applyBorder="1" applyFont="1">
      <alignment horizontal="left" readingOrder="0" shrinkToFit="0" vertical="center" wrapText="0"/>
    </xf>
    <xf borderId="13" fillId="0" fontId="21" numFmtId="0" xfId="0" applyAlignment="1" applyBorder="1" applyFont="1">
      <alignment horizontal="center" readingOrder="0" vertical="center"/>
    </xf>
    <xf borderId="14" fillId="0" fontId="3" numFmtId="0" xfId="0" applyBorder="1" applyFont="1"/>
    <xf borderId="15" fillId="0" fontId="3" numFmtId="0" xfId="0" applyBorder="1" applyFont="1"/>
    <xf borderId="0" fillId="0" fontId="12" numFmtId="0" xfId="0" applyAlignment="1" applyFont="1">
      <alignment horizontal="center" vertical="center"/>
    </xf>
    <xf borderId="5" fillId="10" fontId="7" numFmtId="0" xfId="0" applyAlignment="1" applyBorder="1" applyFill="1" applyFont="1">
      <alignment horizontal="center" readingOrder="0" shrinkToFit="0" vertical="center" wrapText="1"/>
    </xf>
    <xf borderId="6" fillId="10" fontId="7" numFmtId="0" xfId="0" applyAlignment="1" applyBorder="1" applyFont="1">
      <alignment horizontal="center" readingOrder="0" shrinkToFit="0" vertical="center" wrapText="1"/>
    </xf>
    <xf borderId="16" fillId="0" fontId="3" numFmtId="0" xfId="0" applyBorder="1" applyFont="1"/>
    <xf borderId="17" fillId="0" fontId="3" numFmtId="0" xfId="0" applyBorder="1" applyFont="1"/>
    <xf borderId="18" fillId="4" fontId="11" numFmtId="0" xfId="0" applyAlignment="1" applyBorder="1" applyFont="1">
      <alignment readingOrder="0" shrinkToFit="0" wrapText="0"/>
    </xf>
    <xf borderId="0" fillId="0" fontId="9" numFmtId="0" xfId="0" applyAlignment="1" applyFont="1">
      <alignment horizontal="center" readingOrder="0" vertical="center"/>
    </xf>
    <xf borderId="19" fillId="0" fontId="3" numFmtId="0" xfId="0" applyBorder="1" applyFont="1"/>
    <xf borderId="20" fillId="0" fontId="3" numFmtId="0" xfId="0" applyBorder="1" applyFont="1"/>
    <xf borderId="21" fillId="0" fontId="3" numFmtId="0" xfId="0" applyBorder="1" applyFont="1"/>
    <xf borderId="0" fillId="0" fontId="2" numFmtId="0" xfId="0" applyAlignment="1" applyFont="1">
      <alignment horizontal="right" readingOrder="0" vertical="center"/>
    </xf>
    <xf borderId="0" fillId="0" fontId="5" numFmtId="0" xfId="0" applyAlignment="1" applyFont="1">
      <alignment horizontal="left" readingOrder="0" shrinkToFit="0" vertical="center" wrapText="0"/>
    </xf>
    <xf borderId="0" fillId="0" fontId="22" numFmtId="0" xfId="0" applyAlignment="1" applyFont="1">
      <alignment horizontal="center" readingOrder="0" vertical="center"/>
    </xf>
    <xf borderId="22" fillId="0" fontId="23" numFmtId="0" xfId="0" applyAlignment="1" applyBorder="1" applyFont="1">
      <alignment horizontal="center" readingOrder="0" vertical="center"/>
    </xf>
    <xf borderId="23" fillId="0" fontId="3" numFmtId="0" xfId="0" applyBorder="1" applyFont="1"/>
    <xf borderId="24" fillId="0" fontId="3" numFmtId="0" xfId="0" applyBorder="1" applyFont="1"/>
    <xf borderId="25" fillId="0" fontId="7" numFmtId="0" xfId="0" applyAlignment="1" applyBorder="1" applyFont="1">
      <alignment horizontal="center" readingOrder="0" vertical="center"/>
    </xf>
    <xf borderId="26" fillId="0" fontId="3" numFmtId="0" xfId="0" applyBorder="1" applyFont="1"/>
    <xf borderId="27" fillId="0" fontId="7" numFmtId="0" xfId="0" applyAlignment="1" applyBorder="1" applyFont="1">
      <alignment horizontal="center" readingOrder="0" vertical="center"/>
    </xf>
    <xf borderId="28" fillId="0" fontId="3" numFmtId="0" xfId="0" applyBorder="1" applyFont="1"/>
    <xf borderId="29" fillId="0" fontId="3" numFmtId="0" xfId="0" applyBorder="1" applyFont="1"/>
    <xf borderId="30" fillId="0" fontId="2" numFmtId="0" xfId="0" applyAlignment="1" applyBorder="1" applyFont="1">
      <alignment horizontal="left" readingOrder="0" vertical="center"/>
    </xf>
    <xf borderId="31" fillId="0" fontId="3" numFmtId="0" xfId="0" applyBorder="1" applyFont="1"/>
    <xf borderId="32" fillId="0" fontId="2" numFmtId="0" xfId="0" applyAlignment="1" applyBorder="1" applyFont="1">
      <alignment horizontal="center" readingOrder="0" vertical="center"/>
    </xf>
    <xf borderId="33" fillId="0" fontId="3" numFmtId="0" xfId="0" applyBorder="1" applyFont="1"/>
    <xf borderId="34" fillId="0" fontId="3" numFmtId="0" xfId="0" applyBorder="1" applyFont="1"/>
    <xf borderId="35" fillId="0" fontId="2" numFmtId="0" xfId="0" applyAlignment="1" applyBorder="1" applyFont="1">
      <alignment horizontal="left" readingOrder="0" vertical="center"/>
    </xf>
    <xf borderId="36" fillId="0" fontId="3" numFmtId="0" xfId="0" applyBorder="1" applyFont="1"/>
    <xf borderId="37" fillId="0" fontId="2" numFmtId="0" xfId="0" applyAlignment="1" applyBorder="1" applyFont="1">
      <alignment horizontal="center" readingOrder="0" vertical="center"/>
    </xf>
    <xf borderId="38" fillId="0" fontId="3" numFmtId="0" xfId="0" applyBorder="1" applyFont="1"/>
    <xf borderId="11" fillId="0" fontId="3" numFmtId="0" xfId="0" applyBorder="1" applyFont="1"/>
    <xf borderId="39" fillId="0" fontId="2" numFmtId="0" xfId="0" applyAlignment="1" applyBorder="1" applyFont="1">
      <alignment horizontal="left" readingOrder="0" vertical="center"/>
    </xf>
    <xf borderId="40" fillId="0" fontId="3" numFmtId="0" xfId="0" applyBorder="1" applyFont="1"/>
    <xf borderId="41" fillId="0" fontId="2" numFmtId="0" xfId="0" applyAlignment="1" applyBorder="1" applyFont="1">
      <alignment horizontal="center" readingOrder="0" vertical="top"/>
    </xf>
    <xf borderId="42" fillId="0" fontId="3" numFmtId="0" xfId="0" applyBorder="1" applyFont="1"/>
    <xf borderId="43" fillId="0" fontId="3" numFmtId="0" xfId="0" applyBorder="1" applyFont="1"/>
    <xf borderId="41" fillId="0" fontId="2" numFmtId="0" xfId="0" applyAlignment="1" applyBorder="1" applyFont="1">
      <alignment horizontal="center" readingOrder="0" vertical="center"/>
    </xf>
    <xf borderId="0" fillId="0" fontId="24" numFmtId="0" xfId="0" applyAlignment="1" applyFont="1">
      <alignment horizontal="center" readingOrder="0" vertical="center"/>
    </xf>
    <xf borderId="0" fillId="0" fontId="25" numFmtId="0" xfId="0" applyAlignment="1" applyFont="1">
      <alignment horizontal="center" readingOrder="0" vertical="center"/>
    </xf>
    <xf borderId="0" fillId="0" fontId="26" numFmtId="0" xfId="0" applyAlignment="1" applyFont="1">
      <alignment horizontal="center"/>
    </xf>
    <xf borderId="0" fillId="0" fontId="26" numFmtId="0" xfId="0" applyAlignment="1" applyFont="1">
      <alignment shrinkToFit="0" vertical="bottom" wrapText="0"/>
    </xf>
    <xf borderId="0" fillId="0" fontId="27" numFmtId="0" xfId="0" applyAlignment="1" applyFont="1">
      <alignment horizontal="center" readingOrder="0" vertical="center"/>
    </xf>
    <xf borderId="0" fillId="0" fontId="21" numFmtId="0" xfId="0" applyAlignment="1" applyFont="1">
      <alignment horizontal="center" readingOrder="0" vertical="center"/>
    </xf>
    <xf borderId="44" fillId="0" fontId="28" numFmtId="0" xfId="0" applyAlignment="1" applyBorder="1" applyFont="1">
      <alignment horizontal="center" readingOrder="0" vertical="center"/>
    </xf>
    <xf borderId="45" fillId="0" fontId="3" numFmtId="0" xfId="0" applyBorder="1" applyFont="1"/>
    <xf borderId="46" fillId="0" fontId="3" numFmtId="0" xfId="0" applyBorder="1" applyFont="1"/>
    <xf borderId="47" fillId="0" fontId="3" numFmtId="0" xfId="0" applyBorder="1" applyFont="1"/>
    <xf borderId="48" fillId="0" fontId="3" numFmtId="0" xfId="0" applyBorder="1" applyFont="1"/>
    <xf borderId="49" fillId="0" fontId="3" numFmtId="0" xfId="0" applyBorder="1" applyFont="1"/>
    <xf borderId="44" fillId="0" fontId="29" numFmtId="0" xfId="0" applyAlignment="1" applyBorder="1" applyFont="1">
      <alignment horizontal="left" readingOrder="0" shrinkToFit="0" vertical="center" wrapText="1"/>
    </xf>
    <xf borderId="50" fillId="0" fontId="3" numFmtId="0" xfId="0" applyBorder="1" applyFont="1"/>
    <xf borderId="51" fillId="0" fontId="3" numFmtId="0" xfId="0" applyBorder="1" applyFont="1"/>
    <xf borderId="1" fillId="5" fontId="21" numFmtId="0" xfId="0" applyAlignment="1" applyBorder="1" applyFont="1">
      <alignment horizontal="center" readingOrder="0" vertical="center"/>
    </xf>
    <xf borderId="52" fillId="5" fontId="25" numFmtId="0" xfId="0" applyAlignment="1" applyBorder="1" applyFont="1">
      <alignment horizontal="center" readingOrder="0" vertical="center"/>
    </xf>
    <xf borderId="2" fillId="5" fontId="27" numFmtId="0" xfId="0" applyAlignment="1" applyBorder="1" applyFont="1">
      <alignment horizontal="center" readingOrder="0" vertical="center"/>
    </xf>
    <xf borderId="1" fillId="5" fontId="22" numFmtId="0" xfId="0" applyAlignment="1" applyBorder="1" applyFont="1">
      <alignment horizontal="center" readingOrder="0" vertical="center"/>
    </xf>
    <xf borderId="2" fillId="5" fontId="22" numFmtId="0" xfId="0" applyAlignment="1" applyBorder="1" applyFont="1">
      <alignment horizontal="center" readingOrder="0" vertical="center"/>
    </xf>
    <xf borderId="19" fillId="5" fontId="30" numFmtId="0" xfId="0" applyAlignment="1" applyBorder="1" applyFont="1">
      <alignment horizontal="center" readingOrder="0" vertical="center"/>
    </xf>
    <xf borderId="53" fillId="6" fontId="31" numFmtId="0" xfId="0" applyAlignment="1" applyBorder="1" applyFont="1">
      <alignment horizontal="center" readingOrder="0" vertical="center"/>
    </xf>
    <xf borderId="53" fillId="6" fontId="2" numFmtId="0" xfId="0" applyAlignment="1" applyBorder="1" applyFont="1">
      <alignment horizontal="center" readingOrder="0" vertical="center"/>
    </xf>
    <xf borderId="4" fillId="0" fontId="32" numFmtId="3" xfId="0" applyAlignment="1" applyBorder="1" applyFont="1" applyNumberFormat="1">
      <alignment horizontal="center"/>
    </xf>
    <xf borderId="2" fillId="0" fontId="32" numFmtId="0" xfId="0" applyAlignment="1" applyBorder="1" applyFont="1">
      <alignment readingOrder="0" vertical="bottom"/>
    </xf>
    <xf borderId="1" fillId="0" fontId="2" numFmtId="0" xfId="0" applyAlignment="1" applyBorder="1" applyFont="1">
      <alignment horizontal="center" readingOrder="0" shrinkToFit="0" vertical="center" wrapText="0"/>
    </xf>
    <xf borderId="1" fillId="0" fontId="4" numFmtId="0" xfId="0" applyAlignment="1" applyBorder="1" applyFont="1">
      <alignment horizontal="left" vertical="center"/>
    </xf>
    <xf borderId="1" fillId="0" fontId="2" numFmtId="0" xfId="0" applyAlignment="1" applyBorder="1" applyFont="1">
      <alignment horizontal="left" readingOrder="0" vertical="center"/>
    </xf>
    <xf borderId="1" fillId="0" fontId="2" numFmtId="0" xfId="0" applyAlignment="1" applyBorder="1" applyFont="1">
      <alignment horizontal="left" readingOrder="0" shrinkToFit="0" vertical="top" wrapText="1"/>
    </xf>
    <xf borderId="54" fillId="0" fontId="3" numFmtId="0" xfId="0" applyBorder="1" applyFont="1"/>
    <xf borderId="1" fillId="0" fontId="4" numFmtId="0" xfId="0" applyAlignment="1" applyBorder="1" applyFont="1">
      <alignment horizontal="left" readingOrder="0" shrinkToFit="0" vertical="top" wrapText="1"/>
    </xf>
    <xf borderId="55" fillId="0" fontId="3" numFmtId="0" xfId="0" applyBorder="1" applyFont="1"/>
    <xf borderId="1" fillId="0" fontId="4" numFmtId="0" xfId="0" applyAlignment="1" applyBorder="1" applyFont="1">
      <alignment horizontal="left" shrinkToFit="0" vertical="top" wrapText="1"/>
    </xf>
    <xf borderId="17" fillId="6" fontId="2" numFmtId="0" xfId="0" applyAlignment="1" applyBorder="1" applyFont="1">
      <alignment horizontal="center" readingOrder="0" vertical="center"/>
    </xf>
    <xf borderId="1" fillId="0" fontId="32" numFmtId="3" xfId="0" applyAlignment="1" applyBorder="1" applyFont="1" applyNumberFormat="1">
      <alignment horizontal="center"/>
    </xf>
    <xf borderId="13" fillId="7" fontId="31" numFmtId="0" xfId="0" applyAlignment="1" applyBorder="1" applyFont="1">
      <alignment horizontal="center" readingOrder="0" vertical="center"/>
    </xf>
    <xf borderId="53" fillId="7" fontId="2" numFmtId="0" xfId="0" applyAlignment="1" applyBorder="1" applyFont="1">
      <alignment horizontal="center" readingOrder="0" vertical="center"/>
    </xf>
    <xf borderId="4" fillId="0" fontId="2" numFmtId="3" xfId="0" applyAlignment="1" applyBorder="1" applyFont="1" applyNumberFormat="1">
      <alignment horizontal="center" readingOrder="0" vertical="center"/>
    </xf>
    <xf borderId="2" fillId="0" fontId="4" numFmtId="0" xfId="0" applyAlignment="1" applyBorder="1" applyFont="1">
      <alignment horizontal="left" readingOrder="0" vertical="center"/>
    </xf>
    <xf borderId="56" fillId="0" fontId="4" numFmtId="0" xfId="0" applyAlignment="1" applyBorder="1" applyFont="1">
      <alignment horizontal="left" shrinkToFit="0" vertical="center" wrapText="1"/>
    </xf>
    <xf borderId="57" fillId="0" fontId="4" numFmtId="0" xfId="0" applyAlignment="1" applyBorder="1" applyFont="1">
      <alignment horizontal="left" vertical="center"/>
    </xf>
    <xf borderId="2" fillId="0" fontId="2" numFmtId="0" xfId="0" applyAlignment="1" applyBorder="1" applyFont="1">
      <alignment horizontal="left" readingOrder="0" vertical="center"/>
    </xf>
    <xf borderId="58" fillId="0" fontId="2" numFmtId="0" xfId="0" applyAlignment="1" applyBorder="1" applyFont="1">
      <alignment horizontal="left" readingOrder="0" shrinkToFit="0" vertical="center" wrapText="1"/>
    </xf>
    <xf borderId="59" fillId="0" fontId="2" numFmtId="0" xfId="0" applyAlignment="1" applyBorder="1" applyFont="1">
      <alignment horizontal="left" readingOrder="0" vertical="center"/>
    </xf>
    <xf borderId="58" fillId="0" fontId="4" numFmtId="0" xfId="0" applyAlignment="1" applyBorder="1" applyFont="1">
      <alignment horizontal="left" shrinkToFit="0" vertical="center" wrapText="1"/>
    </xf>
    <xf borderId="59" fillId="0" fontId="4" numFmtId="0" xfId="0" applyAlignment="1" applyBorder="1" applyFont="1">
      <alignment horizontal="left" vertical="center"/>
    </xf>
    <xf borderId="60" fillId="0" fontId="2" numFmtId="0" xfId="0" applyAlignment="1" applyBorder="1" applyFont="1">
      <alignment horizontal="left" readingOrder="0" shrinkToFit="0" vertical="center" wrapText="1"/>
    </xf>
    <xf borderId="61" fillId="0" fontId="2" numFmtId="0" xfId="0" applyAlignment="1" applyBorder="1" applyFont="1">
      <alignment horizontal="left" readingOrder="0" vertical="center"/>
    </xf>
    <xf borderId="2" fillId="0" fontId="4" numFmtId="0" xfId="0" applyAlignment="1" applyBorder="1" applyFont="1">
      <alignment horizontal="left" vertical="center"/>
    </xf>
    <xf borderId="62" fillId="0" fontId="4" numFmtId="0" xfId="0" applyAlignment="1" applyBorder="1" applyFont="1">
      <alignment horizontal="left" vertical="center"/>
    </xf>
    <xf borderId="63" fillId="7" fontId="2" numFmtId="0" xfId="0" applyAlignment="1" applyBorder="1" applyFont="1">
      <alignment horizontal="center" readingOrder="0" vertical="center"/>
    </xf>
    <xf borderId="1" fillId="0" fontId="2" numFmtId="3" xfId="0" applyAlignment="1" applyBorder="1" applyFont="1" applyNumberFormat="1">
      <alignment horizontal="center" readingOrder="0" vertical="center"/>
    </xf>
    <xf borderId="2" fillId="0" fontId="32" numFmtId="0" xfId="0" applyAlignment="1" applyBorder="1" applyFont="1">
      <alignment readingOrder="0"/>
    </xf>
    <xf borderId="52" fillId="8" fontId="31" numFmtId="0" xfId="0" applyAlignment="1" applyBorder="1" applyFont="1">
      <alignment horizontal="center" readingOrder="0" vertical="center"/>
    </xf>
    <xf borderId="52" fillId="11" fontId="2" numFmtId="0" xfId="0" applyAlignment="1" applyBorder="1" applyFill="1" applyFont="1">
      <alignment horizontal="center" readingOrder="0" vertical="center"/>
    </xf>
    <xf borderId="63" fillId="0" fontId="3" numFmtId="0" xfId="0" applyBorder="1" applyFont="1"/>
    <xf borderId="64" fillId="0" fontId="3" numFmtId="0" xfId="0" applyBorder="1" applyFont="1"/>
    <xf borderId="52" fillId="12" fontId="32" numFmtId="0" xfId="0" applyAlignment="1" applyBorder="1" applyFill="1" applyFont="1">
      <alignment horizontal="center" readingOrder="0" vertical="center"/>
    </xf>
    <xf borderId="2" fillId="0" fontId="32" numFmtId="0" xfId="0" applyBorder="1" applyFont="1"/>
    <xf borderId="13" fillId="13" fontId="31" numFmtId="0" xfId="0" applyAlignment="1" applyBorder="1" applyFill="1" applyFont="1">
      <alignment horizontal="center" readingOrder="0" vertical="center"/>
    </xf>
    <xf borderId="53" fillId="3" fontId="2" numFmtId="0" xfId="0" applyAlignment="1" applyBorder="1" applyFont="1">
      <alignment horizontal="center" readingOrder="0" vertical="center"/>
    </xf>
    <xf borderId="1" fillId="0" fontId="33" numFmtId="0" xfId="0" applyAlignment="1" applyBorder="1" applyFont="1">
      <alignment horizontal="left" readingOrder="0" shrinkToFit="0" vertical="center" wrapText="0"/>
    </xf>
    <xf borderId="16" fillId="14" fontId="31" numFmtId="0" xfId="0" applyAlignment="1" applyBorder="1" applyFill="1" applyFont="1">
      <alignment horizontal="center" readingOrder="0" vertical="center"/>
    </xf>
    <xf borderId="63" fillId="9" fontId="2" numFmtId="0" xfId="0" applyAlignment="1" applyBorder="1" applyFont="1">
      <alignment horizontal="center" readingOrder="0" vertical="center"/>
    </xf>
    <xf borderId="52" fillId="9" fontId="2" numFmtId="0" xfId="0" applyAlignment="1" applyBorder="1" applyFont="1">
      <alignment horizontal="center" readingOrder="0" vertical="center"/>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営業全体評価</a:t>
            </a:r>
          </a:p>
        </c:rich>
      </c:tx>
      <c:layout>
        <c:manualLayout>
          <c:xMode val="edge"/>
          <c:yMode val="edge"/>
          <c:x val="0.03807234620305572"/>
          <c:y val="0.050360104821191284"/>
        </c:manualLayout>
      </c:layout>
      <c:overlay val="0"/>
    </c:title>
    <c:plotArea>
      <c:layout/>
      <c:radarChart>
        <c:radarStyle val="marker"/>
        <c:ser>
          <c:idx val="0"/>
          <c:order val="0"/>
          <c:spPr>
            <a:ln cmpd="sng" w="19050">
              <a:solidFill>
                <a:srgbClr val="4285F4"/>
              </a:solidFill>
            </a:ln>
          </c:spPr>
          <c:marker>
            <c:symbol val="circle"/>
            <c:size val="10"/>
            <c:spPr>
              <a:solidFill>
                <a:srgbClr val="4285F4"/>
              </a:solidFill>
              <a:ln cmpd="sng">
                <a:solidFill>
                  <a:srgbClr val="4285F4"/>
                </a:solidFill>
              </a:ln>
            </c:spPr>
          </c:marker>
          <c:cat>
            <c:strRef>
              <c:f>'営業評価シート'!$H$2:$H$15</c:f>
            </c:strRef>
          </c:cat>
          <c:val>
            <c:numRef>
              <c:f>'営業評価シート'!$H$2:$H$15</c:f>
              <c:numCache/>
            </c:numRef>
          </c:val>
        </c:ser>
        <c:axId val="1020760048"/>
        <c:axId val="313526361"/>
      </c:radarChart>
      <c:catAx>
        <c:axId val="1020760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13526361"/>
      </c:catAx>
      <c:valAx>
        <c:axId val="313526361"/>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0760048"/>
      </c:valAx>
    </c:plotArea>
    <c:legend>
      <c:legendPos val="r"/>
      <c:overlay val="0"/>
      <c:txPr>
        <a:bodyPr/>
        <a:lstStyle/>
        <a:p>
          <a:pPr lvl="0">
            <a:defRPr b="0">
              <a:solidFill>
                <a:srgbClr val="1A1A1A"/>
              </a:solidFill>
              <a:latin typeface="+mn-lt"/>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商談評価</a:t>
            </a:r>
          </a:p>
        </c:rich>
      </c:tx>
      <c:layout>
        <c:manualLayout>
          <c:xMode val="edge"/>
          <c:yMode val="edge"/>
          <c:x val="0.03807234620305572"/>
          <c:y val="0.050360104821191284"/>
        </c:manualLayout>
      </c:layout>
      <c:overlay val="0"/>
    </c:title>
    <c:plotArea>
      <c:layout/>
      <c:radarChart>
        <c:radarStyle val="marker"/>
        <c:ser>
          <c:idx val="0"/>
          <c:order val="0"/>
          <c:spPr>
            <a:ln cmpd="sng" w="19050">
              <a:solidFill>
                <a:srgbClr val="4285F4"/>
              </a:solidFill>
            </a:ln>
          </c:spPr>
          <c:marker>
            <c:symbol val="circle"/>
            <c:size val="10"/>
            <c:spPr>
              <a:solidFill>
                <a:srgbClr val="4285F4"/>
              </a:solidFill>
              <a:ln cmpd="sng">
                <a:solidFill>
                  <a:srgbClr val="4285F4"/>
                </a:solidFill>
              </a:ln>
            </c:spPr>
          </c:marker>
          <c:cat>
            <c:strRef>
              <c:f>'営業評価シート'!$H$20:$H$31</c:f>
            </c:strRef>
          </c:cat>
          <c:val>
            <c:numRef>
              <c:f>'営業評価シート'!$H$20:$H$31</c:f>
              <c:numCache/>
            </c:numRef>
          </c:val>
        </c:ser>
        <c:axId val="1217602042"/>
        <c:axId val="735172725"/>
      </c:radarChart>
      <c:catAx>
        <c:axId val="1217602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35172725"/>
      </c:catAx>
      <c:valAx>
        <c:axId val="735172725"/>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7602042"/>
      </c:valAx>
    </c:plotArea>
    <c:legend>
      <c:legendPos val="r"/>
      <c:overlay val="0"/>
      <c:txPr>
        <a:bodyPr/>
        <a:lstStyle/>
        <a:p>
          <a:pPr lvl="0">
            <a:defRPr b="0">
              <a:solidFill>
                <a:srgbClr val="1A1A1A"/>
              </a:solidFill>
              <a:latin typeface="+mn-lt"/>
            </a:defRPr>
          </a:pPr>
        </a:p>
      </c:txPr>
    </c:legend>
    <c:plotVisOnly val="0"/>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0</xdr:row>
      <xdr:rowOff>76200</xdr:rowOff>
    </xdr:from>
    <xdr:ext cx="4257675" cy="33051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xdr:colOff>
      <xdr:row>16</xdr:row>
      <xdr:rowOff>38100</xdr:rowOff>
    </xdr:from>
    <xdr:ext cx="4257675" cy="293370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790575</xdr:colOff>
      <xdr:row>12</xdr:row>
      <xdr:rowOff>142875</xdr:rowOff>
    </xdr:from>
    <xdr:ext cx="866775" cy="381000"/>
    <xdr:sp>
      <xdr:nvSpPr>
        <xdr:cNvPr id="3" name="Shape 3"/>
        <xdr:cNvSpPr txBox="1"/>
      </xdr:nvSpPr>
      <xdr:spPr>
        <a:xfrm>
          <a:off x="2411475" y="833225"/>
          <a:ext cx="848100" cy="365700"/>
        </a:xfrm>
        <a:prstGeom prst="rect">
          <a:avLst/>
        </a:prstGeom>
        <a:solidFill>
          <a:srgbClr val="FFFF00"/>
        </a:solidFill>
        <a:ln cap="flat" cmpd="sng" w="9525">
          <a:solidFill>
            <a:srgbClr val="FFFF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000"/>
            <a:t>営業人間力</a:t>
          </a:r>
          <a:endParaRPr b="1" sz="1000"/>
        </a:p>
      </xdr:txBody>
    </xdr:sp>
    <xdr:clientData fLocksWithSheet="0"/>
  </xdr:oneCellAnchor>
  <xdr:oneCellAnchor>
    <xdr:from>
      <xdr:col>4</xdr:col>
      <xdr:colOff>428625</xdr:colOff>
      <xdr:row>13</xdr:row>
      <xdr:rowOff>38100</xdr:rowOff>
    </xdr:from>
    <xdr:ext cx="866775" cy="285750"/>
    <xdr:sp>
      <xdr:nvSpPr>
        <xdr:cNvPr id="4" name="Shape 4"/>
        <xdr:cNvSpPr txBox="1"/>
      </xdr:nvSpPr>
      <xdr:spPr>
        <a:xfrm>
          <a:off x="2411475" y="833225"/>
          <a:ext cx="1119600" cy="382200"/>
        </a:xfrm>
        <a:prstGeom prst="rect">
          <a:avLst/>
        </a:prstGeom>
        <a:solidFill>
          <a:srgbClr val="F4CCCC"/>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商談対応力</a:t>
          </a:r>
          <a:endParaRPr b="1" sz="1400"/>
        </a:p>
      </xdr:txBody>
    </xdr:sp>
    <xdr:clientData fLocksWithSheet="0"/>
  </xdr:oneCellAnchor>
  <xdr:oneCellAnchor>
    <xdr:from>
      <xdr:col>4</xdr:col>
      <xdr:colOff>409575</xdr:colOff>
      <xdr:row>4</xdr:row>
      <xdr:rowOff>9525</xdr:rowOff>
    </xdr:from>
    <xdr:ext cx="714375" cy="342900"/>
    <xdr:sp>
      <xdr:nvSpPr>
        <xdr:cNvPr id="5" name="Shape 5"/>
        <xdr:cNvSpPr txBox="1"/>
      </xdr:nvSpPr>
      <xdr:spPr>
        <a:xfrm>
          <a:off x="2744775" y="803825"/>
          <a:ext cx="778500" cy="354600"/>
        </a:xfrm>
        <a:prstGeom prst="rect">
          <a:avLst/>
        </a:prstGeom>
        <a:solidFill>
          <a:srgbClr val="D9EAD3"/>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商談後</a:t>
          </a:r>
          <a:endParaRPr b="1" sz="1400"/>
        </a:p>
      </xdr:txBody>
    </xdr:sp>
    <xdr:clientData fLocksWithSheet="0"/>
  </xdr:oneCellAnchor>
  <xdr:oneCellAnchor>
    <xdr:from>
      <xdr:col>4</xdr:col>
      <xdr:colOff>1962150</xdr:colOff>
      <xdr:row>0</xdr:row>
      <xdr:rowOff>123825</xdr:rowOff>
    </xdr:from>
    <xdr:ext cx="714375" cy="381000"/>
    <xdr:sp>
      <xdr:nvSpPr>
        <xdr:cNvPr id="6" name="Shape 6"/>
        <xdr:cNvSpPr txBox="1"/>
      </xdr:nvSpPr>
      <xdr:spPr>
        <a:xfrm>
          <a:off x="4178725" y="1422125"/>
          <a:ext cx="698100" cy="359400"/>
        </a:xfrm>
        <a:prstGeom prst="rect">
          <a:avLst/>
        </a:prstGeom>
        <a:solidFill>
          <a:srgbClr val="D9D2E9"/>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000"/>
            <a:t>商談前IS</a:t>
          </a:r>
          <a:endParaRPr b="1" sz="1000"/>
        </a:p>
      </xdr:txBody>
    </xdr:sp>
    <xdr:clientData fLocksWithSheet="0"/>
  </xdr:oneCellAnchor>
  <xdr:oneCellAnchor>
    <xdr:from>
      <xdr:col>5</xdr:col>
      <xdr:colOff>952500</xdr:colOff>
      <xdr:row>3</xdr:row>
      <xdr:rowOff>171450</xdr:rowOff>
    </xdr:from>
    <xdr:ext cx="866775" cy="381000"/>
    <xdr:sp>
      <xdr:nvSpPr>
        <xdr:cNvPr id="7" name="Shape 7"/>
        <xdr:cNvSpPr txBox="1"/>
      </xdr:nvSpPr>
      <xdr:spPr>
        <a:xfrm>
          <a:off x="2646750" y="1235150"/>
          <a:ext cx="1009200" cy="439500"/>
        </a:xfrm>
        <a:prstGeom prst="rect">
          <a:avLst/>
        </a:prstGeom>
        <a:solidFill>
          <a:srgbClr val="D0E0E3"/>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商談態勢</a:t>
          </a:r>
          <a:endParaRPr b="1" sz="1400"/>
        </a:p>
      </xdr:txBody>
    </xdr:sp>
    <xdr:clientData fLocksWithSheet="0"/>
  </xdr:oneCellAnchor>
  <xdr:oneCellAnchor>
    <xdr:from>
      <xdr:col>4</xdr:col>
      <xdr:colOff>1990725</xdr:colOff>
      <xdr:row>16</xdr:row>
      <xdr:rowOff>133350</xdr:rowOff>
    </xdr:from>
    <xdr:ext cx="657225" cy="495300"/>
    <xdr:sp>
      <xdr:nvSpPr>
        <xdr:cNvPr id="8" name="Shape 8"/>
        <xdr:cNvSpPr txBox="1"/>
      </xdr:nvSpPr>
      <xdr:spPr>
        <a:xfrm>
          <a:off x="3228250" y="1979100"/>
          <a:ext cx="638700" cy="47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冒頭</a:t>
          </a:r>
          <a:endParaRPr b="1" sz="1400"/>
        </a:p>
      </xdr:txBody>
    </xdr:sp>
    <xdr:clientData fLocksWithSheet="0"/>
  </xdr:oneCellAnchor>
  <xdr:oneCellAnchor>
    <xdr:from>
      <xdr:col>4</xdr:col>
      <xdr:colOff>2343150</xdr:colOff>
      <xdr:row>27</xdr:row>
      <xdr:rowOff>190500</xdr:rowOff>
    </xdr:from>
    <xdr:ext cx="1104900" cy="571500"/>
    <xdr:sp>
      <xdr:nvSpPr>
        <xdr:cNvPr id="9" name="Shape 9"/>
        <xdr:cNvSpPr txBox="1"/>
      </xdr:nvSpPr>
      <xdr:spPr>
        <a:xfrm>
          <a:off x="3416675" y="1532800"/>
          <a:ext cx="1083900" cy="547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サービス</a:t>
          </a:r>
          <a:endParaRPr b="1" sz="1400"/>
        </a:p>
        <a:p>
          <a:pPr indent="0" lvl="0" marL="0" rtl="0" algn="ctr">
            <a:spcBef>
              <a:spcPts val="0"/>
            </a:spcBef>
            <a:spcAft>
              <a:spcPts val="0"/>
            </a:spcAft>
            <a:buNone/>
          </a:pPr>
          <a:r>
            <a:rPr b="1" lang="en-US" sz="1400"/>
            <a:t>説明</a:t>
          </a:r>
          <a:endParaRPr b="1" sz="1400"/>
        </a:p>
      </xdr:txBody>
    </xdr:sp>
    <xdr:clientData fLocksWithSheet="0"/>
  </xdr:oneCellAnchor>
  <xdr:oneCellAnchor>
    <xdr:from>
      <xdr:col>4</xdr:col>
      <xdr:colOff>161925</xdr:colOff>
      <xdr:row>22</xdr:row>
      <xdr:rowOff>19050</xdr:rowOff>
    </xdr:from>
    <xdr:ext cx="1400175" cy="419100"/>
    <xdr:sp>
      <xdr:nvSpPr>
        <xdr:cNvPr id="10" name="Shape 10"/>
        <xdr:cNvSpPr txBox="1"/>
      </xdr:nvSpPr>
      <xdr:spPr>
        <a:xfrm>
          <a:off x="1735575" y="1824850"/>
          <a:ext cx="13845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t>クロージング</a:t>
          </a:r>
          <a:endParaRPr b="1" sz="1400"/>
        </a:p>
      </xdr:txBody>
    </xdr:sp>
    <xdr:clientData fLocksWithSheet="0"/>
  </xdr:oneCellAnchor>
  <xdr:oneCellAnchor>
    <xdr:from>
      <xdr:col>5</xdr:col>
      <xdr:colOff>447675</xdr:colOff>
      <xdr:row>22</xdr:row>
      <xdr:rowOff>19050</xdr:rowOff>
    </xdr:from>
    <xdr:ext cx="1876425" cy="390525"/>
    <xdr:sp>
      <xdr:nvSpPr>
        <xdr:cNvPr id="11" name="Shape 11"/>
        <xdr:cNvSpPr txBox="1"/>
      </xdr:nvSpPr>
      <xdr:spPr>
        <a:xfrm>
          <a:off x="3416675" y="1532800"/>
          <a:ext cx="1854600" cy="3669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質問</a:t>
          </a:r>
          <a:endParaRPr b="1" sz="1400"/>
        </a:p>
      </xdr:txBody>
    </xdr:sp>
    <xdr:clientData fLocksWithSheet="0"/>
  </xdr:oneCellAnchor>
  <xdr:oneCellAnchor>
    <xdr:from>
      <xdr:col>0</xdr:col>
      <xdr:colOff>0</xdr:colOff>
      <xdr:row>16</xdr:row>
      <xdr:rowOff>0</xdr:rowOff>
    </xdr:from>
    <xdr:ext cx="304800"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pselltech-group.co.jp" TargetMode="External"/><Relationship Id="rId2" Type="http://schemas.openxmlformats.org/officeDocument/2006/relationships/hyperlink" Target="https://tldv.io/app/meetings/68ccf13d5e85400013546803" TargetMode="External"/><Relationship Id="rId3" Type="http://schemas.openxmlformats.org/officeDocument/2006/relationships/hyperlink" Target="https://drive.google.com/file/d/1og90LNh0PgSklQPc9bnZPHqbctm8LAWP/view?usp=drive_link" TargetMode="External"/><Relationship Id="rId4" Type="http://schemas.openxmlformats.org/officeDocument/2006/relationships/hyperlink" Target="https://drive.google.com/file/d/1sH4ln1HO7X9BUNIv9nE0fdht2lpWXI8z/view?usp=drive_link" TargetMode="External"/><Relationship Id="rId5" Type="http://schemas.openxmlformats.org/officeDocument/2006/relationships/hyperlink" Target="https://www.wawaoffice.jp/wawawork/bant/"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showGridLines="0" workbookViewId="0"/>
  </sheetViews>
  <sheetFormatPr customHeight="1" defaultColWidth="12.63" defaultRowHeight="15.75" outlineLevelCol="1"/>
  <cols>
    <col customWidth="1" min="1" max="1" width="18.0"/>
    <col customWidth="1" min="2" max="2" width="12.75"/>
    <col customWidth="1" min="3" max="3" width="4.0"/>
    <col customWidth="1" min="4" max="4" width="21.38"/>
    <col customWidth="1" min="5" max="5" width="32.75"/>
    <col customWidth="1" min="6" max="6" width="27.13"/>
    <col collapsed="1" customWidth="1" min="7" max="7" width="5.38"/>
    <col customWidth="1" hidden="1" min="8" max="8" width="8.13" outlineLevel="1"/>
    <col customWidth="1" min="9" max="10" width="25.88"/>
  </cols>
  <sheetData>
    <row r="1" ht="29.25" customHeight="1">
      <c r="A1" s="1" t="s">
        <v>0</v>
      </c>
      <c r="B1" s="2" t="s">
        <v>1</v>
      </c>
      <c r="C1" s="3"/>
      <c r="D1" s="4"/>
      <c r="E1" s="5"/>
      <c r="F1" s="6"/>
      <c r="G1" s="7"/>
      <c r="H1" s="7"/>
      <c r="I1" s="8" t="s">
        <v>2</v>
      </c>
      <c r="J1" s="9"/>
    </row>
    <row r="2">
      <c r="A2" s="10" t="s">
        <v>3</v>
      </c>
      <c r="B2" s="11">
        <v>45919.0</v>
      </c>
      <c r="C2" s="3"/>
      <c r="D2" s="4"/>
      <c r="E2" s="5"/>
      <c r="F2" s="12" t="s">
        <v>4</v>
      </c>
      <c r="G2" s="13"/>
      <c r="H2" s="14">
        <f>sum(H72:H81)/10*100</f>
        <v>70</v>
      </c>
      <c r="I2" s="15" t="s">
        <v>5</v>
      </c>
      <c r="J2" s="16" t="s">
        <v>6</v>
      </c>
    </row>
    <row r="3">
      <c r="A3" s="10" t="s">
        <v>7</v>
      </c>
      <c r="B3" s="17" t="s">
        <v>8</v>
      </c>
      <c r="C3" s="3"/>
      <c r="D3" s="4"/>
      <c r="E3" s="5"/>
      <c r="F3" s="12" t="s">
        <v>9</v>
      </c>
      <c r="H3" s="18">
        <f>SUM(H83:H104)/22*100</f>
        <v>90.90909091</v>
      </c>
      <c r="I3" s="19" t="s">
        <v>10</v>
      </c>
      <c r="J3" s="20" t="s">
        <v>11</v>
      </c>
    </row>
    <row r="4">
      <c r="A4" s="10" t="s">
        <v>12</v>
      </c>
      <c r="B4" s="21"/>
      <c r="C4" s="3"/>
      <c r="D4" s="4"/>
      <c r="E4" s="5"/>
      <c r="F4" s="22" t="s">
        <v>13</v>
      </c>
      <c r="G4" s="13"/>
      <c r="H4" s="14">
        <f>SUM(H105:H129)/25*100</f>
        <v>84</v>
      </c>
      <c r="I4" s="23" t="s">
        <v>14</v>
      </c>
      <c r="J4" s="24" t="s">
        <v>15</v>
      </c>
    </row>
    <row r="5">
      <c r="A5" s="10" t="s">
        <v>16</v>
      </c>
      <c r="B5" s="21"/>
      <c r="C5" s="3"/>
      <c r="D5" s="4"/>
      <c r="E5" s="5"/>
      <c r="F5" s="25"/>
      <c r="G5" s="26"/>
      <c r="H5" s="27"/>
      <c r="I5" s="23" t="s">
        <v>17</v>
      </c>
      <c r="J5" s="28" t="s">
        <v>18</v>
      </c>
    </row>
    <row r="6">
      <c r="A6" s="10" t="s">
        <v>19</v>
      </c>
      <c r="B6" s="2" t="s">
        <v>20</v>
      </c>
      <c r="C6" s="3"/>
      <c r="D6" s="4"/>
      <c r="E6" s="5"/>
      <c r="F6" s="12" t="s">
        <v>21</v>
      </c>
      <c r="G6" s="13"/>
      <c r="H6" s="14">
        <f>SUM(H130:H160)/31*100</f>
        <v>83.87096774</v>
      </c>
      <c r="I6" s="23" t="s">
        <v>22</v>
      </c>
      <c r="J6" s="23" t="s">
        <v>23</v>
      </c>
    </row>
    <row r="7">
      <c r="A7" s="10" t="s">
        <v>24</v>
      </c>
      <c r="B7" s="29" t="s">
        <v>25</v>
      </c>
      <c r="C7" s="3"/>
      <c r="D7" s="4"/>
      <c r="E7" s="5"/>
      <c r="F7" s="12" t="s">
        <v>26</v>
      </c>
      <c r="G7" s="13"/>
      <c r="H7" s="14">
        <f>SUM(H162:H172)/11*100</f>
        <v>86.36363636</v>
      </c>
      <c r="I7" s="23"/>
      <c r="J7" s="23"/>
    </row>
    <row r="8">
      <c r="A8" s="10" t="s">
        <v>27</v>
      </c>
      <c r="B8" s="30" t="s">
        <v>28</v>
      </c>
      <c r="C8" s="3"/>
      <c r="D8" s="4"/>
      <c r="E8" s="5"/>
      <c r="F8" s="12"/>
      <c r="G8" s="13"/>
      <c r="H8" s="14"/>
      <c r="I8" s="23"/>
      <c r="J8" s="23"/>
    </row>
    <row r="9">
      <c r="A9" s="31" t="s">
        <v>29</v>
      </c>
      <c r="B9" s="32" t="s">
        <v>30</v>
      </c>
      <c r="C9" s="3"/>
      <c r="D9" s="4"/>
      <c r="E9" s="5"/>
      <c r="F9" s="12"/>
      <c r="G9" s="13"/>
      <c r="H9" s="14"/>
      <c r="I9" s="23"/>
      <c r="J9" s="23"/>
    </row>
    <row r="10" ht="25.5" customHeight="1">
      <c r="A10" s="33" t="s">
        <v>31</v>
      </c>
      <c r="B10" s="34">
        <f>SUM(B11:D15)/500*100</f>
        <v>83.028739</v>
      </c>
      <c r="C10" s="3"/>
      <c r="D10" s="4"/>
      <c r="E10" s="5"/>
      <c r="F10" s="12"/>
      <c r="G10" s="13"/>
      <c r="H10" s="14"/>
      <c r="I10" s="23"/>
      <c r="J10" s="23"/>
    </row>
    <row r="11">
      <c r="A11" s="35" t="s">
        <v>32</v>
      </c>
      <c r="B11" s="36">
        <f t="shared" ref="B11:B13" si="1">H2</f>
        <v>70</v>
      </c>
      <c r="C11" s="3"/>
      <c r="D11" s="4"/>
      <c r="E11" s="5"/>
      <c r="F11" s="6"/>
      <c r="G11" s="13"/>
      <c r="H11" s="14"/>
      <c r="I11" s="23"/>
      <c r="J11" s="23"/>
    </row>
    <row r="12">
      <c r="A12" s="37" t="s">
        <v>33</v>
      </c>
      <c r="B12" s="36">
        <f t="shared" si="1"/>
        <v>90.90909091</v>
      </c>
      <c r="C12" s="3"/>
      <c r="D12" s="4"/>
      <c r="E12" s="5"/>
      <c r="F12" s="38"/>
      <c r="G12" s="13"/>
      <c r="H12" s="14"/>
      <c r="I12" s="23"/>
      <c r="J12" s="23"/>
    </row>
    <row r="13">
      <c r="A13" s="39" t="s">
        <v>34</v>
      </c>
      <c r="B13" s="36">
        <f t="shared" si="1"/>
        <v>84</v>
      </c>
      <c r="C13" s="3"/>
      <c r="D13" s="4"/>
      <c r="E13" s="13"/>
      <c r="F13" s="40"/>
      <c r="G13" s="26"/>
      <c r="H13" s="26"/>
      <c r="I13" s="23"/>
      <c r="J13" s="23"/>
    </row>
    <row r="14">
      <c r="A14" s="41" t="s">
        <v>35</v>
      </c>
      <c r="B14" s="36">
        <f t="shared" ref="B14:B15" si="2">H6</f>
        <v>83.87096774</v>
      </c>
      <c r="C14" s="3"/>
      <c r="D14" s="4"/>
      <c r="E14" s="13"/>
      <c r="F14" s="25"/>
      <c r="G14" s="26"/>
      <c r="H14" s="26"/>
      <c r="I14" s="23"/>
      <c r="J14" s="23"/>
    </row>
    <row r="15">
      <c r="A15" s="42" t="s">
        <v>36</v>
      </c>
      <c r="B15" s="36">
        <f t="shared" si="2"/>
        <v>86.36363636</v>
      </c>
      <c r="C15" s="3"/>
      <c r="D15" s="4"/>
      <c r="E15" s="13"/>
      <c r="F15" s="25"/>
      <c r="G15" s="26"/>
      <c r="H15" s="26"/>
      <c r="I15" s="23"/>
      <c r="J15" s="23"/>
    </row>
    <row r="16">
      <c r="A16" s="43" t="s">
        <v>37</v>
      </c>
      <c r="B16" s="3"/>
      <c r="C16" s="3"/>
      <c r="D16" s="4"/>
      <c r="E16" s="44"/>
      <c r="F16" s="25"/>
      <c r="G16" s="45"/>
      <c r="H16" s="26"/>
      <c r="I16" s="46"/>
      <c r="J16" s="46"/>
    </row>
    <row r="17">
      <c r="A17" s="47"/>
      <c r="B17" s="48"/>
      <c r="C17" s="48"/>
      <c r="D17" s="49"/>
      <c r="E17" s="50"/>
      <c r="F17" s="25"/>
      <c r="G17" s="45"/>
      <c r="H17" s="26"/>
      <c r="I17" s="51" t="s">
        <v>38</v>
      </c>
      <c r="J17" s="52" t="s">
        <v>6</v>
      </c>
    </row>
    <row r="18">
      <c r="A18" s="53"/>
      <c r="D18" s="54"/>
      <c r="E18" s="50"/>
      <c r="F18" s="25"/>
      <c r="G18" s="45"/>
      <c r="H18" s="26"/>
      <c r="I18" s="55" t="s">
        <v>39</v>
      </c>
      <c r="J18" s="19" t="s">
        <v>40</v>
      </c>
    </row>
    <row r="19">
      <c r="A19" s="53"/>
      <c r="D19" s="54"/>
      <c r="E19" s="50"/>
      <c r="F19" s="40" t="s">
        <v>41</v>
      </c>
      <c r="G19" s="45"/>
      <c r="H19" s="26"/>
      <c r="I19" s="23" t="s">
        <v>42</v>
      </c>
      <c r="J19" s="23" t="s">
        <v>43</v>
      </c>
    </row>
    <row r="20">
      <c r="A20" s="53"/>
      <c r="D20" s="54"/>
      <c r="E20" s="50"/>
      <c r="F20" s="40" t="s">
        <v>44</v>
      </c>
      <c r="G20" s="13"/>
      <c r="H20" s="14">
        <f>SUM(H130:H134)/5*100</f>
        <v>90</v>
      </c>
      <c r="I20" s="23" t="s">
        <v>45</v>
      </c>
      <c r="J20" s="23" t="s">
        <v>46</v>
      </c>
    </row>
    <row r="21">
      <c r="A21" s="53"/>
      <c r="D21" s="54"/>
      <c r="E21" s="50"/>
      <c r="F21" s="40" t="s">
        <v>47</v>
      </c>
      <c r="G21" s="13"/>
      <c r="H21" s="14">
        <f>SUM(H135:H139)/5*100</f>
        <v>100</v>
      </c>
      <c r="I21" s="23"/>
      <c r="J21" s="23"/>
    </row>
    <row r="22">
      <c r="A22" s="53"/>
      <c r="D22" s="54"/>
      <c r="E22" s="50"/>
      <c r="F22" s="40" t="s">
        <v>48</v>
      </c>
      <c r="G22" s="13"/>
      <c r="H22" s="14">
        <f>SUM(H140:H152)/13*100</f>
        <v>92.30769231</v>
      </c>
      <c r="I22" s="23"/>
      <c r="J22" s="23"/>
    </row>
    <row r="23">
      <c r="A23" s="53"/>
      <c r="D23" s="54"/>
      <c r="E23" s="50"/>
      <c r="F23" s="40" t="s">
        <v>49</v>
      </c>
      <c r="G23" s="13"/>
      <c r="H23" s="14">
        <f>SUM(H153:H160)/8*100</f>
        <v>56.25</v>
      </c>
      <c r="I23" s="23"/>
      <c r="J23" s="23"/>
    </row>
    <row r="24">
      <c r="A24" s="53"/>
      <c r="D24" s="54"/>
      <c r="E24" s="50"/>
      <c r="F24" s="40" t="s">
        <v>50</v>
      </c>
      <c r="G24" s="56"/>
      <c r="H24" s="14"/>
      <c r="I24" s="23"/>
      <c r="J24" s="23"/>
    </row>
    <row r="25">
      <c r="A25" s="53"/>
      <c r="D25" s="54"/>
      <c r="E25" s="50"/>
      <c r="F25" s="25"/>
      <c r="G25" s="45"/>
      <c r="H25" s="26"/>
      <c r="I25" s="23"/>
      <c r="J25" s="23"/>
    </row>
    <row r="26">
      <c r="A26" s="53"/>
      <c r="D26" s="54"/>
      <c r="E26" s="44"/>
      <c r="F26" s="25"/>
      <c r="G26" s="45"/>
      <c r="H26" s="26"/>
      <c r="I26" s="23"/>
      <c r="J26" s="23"/>
    </row>
    <row r="27">
      <c r="A27" s="53"/>
      <c r="D27" s="54"/>
      <c r="E27" s="44"/>
      <c r="F27" s="25"/>
      <c r="G27" s="45"/>
      <c r="H27" s="26"/>
      <c r="I27" s="23"/>
      <c r="J27" s="23"/>
    </row>
    <row r="28">
      <c r="A28" s="53"/>
      <c r="D28" s="54"/>
      <c r="E28" s="44"/>
      <c r="F28" s="25"/>
      <c r="G28" s="45"/>
      <c r="H28" s="26"/>
      <c r="I28" s="23"/>
      <c r="J28" s="23"/>
    </row>
    <row r="29">
      <c r="A29" s="53"/>
      <c r="D29" s="54"/>
      <c r="E29" s="44"/>
      <c r="F29" s="25"/>
      <c r="G29" s="45"/>
      <c r="H29" s="26"/>
      <c r="I29" s="23"/>
      <c r="J29" s="23"/>
    </row>
    <row r="30">
      <c r="A30" s="53"/>
      <c r="D30" s="54"/>
      <c r="E30" s="44"/>
      <c r="F30" s="25"/>
      <c r="G30" s="45"/>
      <c r="H30" s="26"/>
      <c r="I30" s="23"/>
      <c r="J30" s="23"/>
    </row>
    <row r="31">
      <c r="A31" s="57"/>
      <c r="B31" s="58"/>
      <c r="C31" s="58"/>
      <c r="D31" s="59"/>
      <c r="E31" s="44"/>
      <c r="F31" s="25"/>
      <c r="G31" s="45"/>
      <c r="H31" s="26"/>
      <c r="I31" s="46"/>
      <c r="J31" s="46"/>
    </row>
    <row r="32">
      <c r="A32" s="60"/>
      <c r="B32" s="61"/>
      <c r="C32" s="61"/>
      <c r="D32" s="61"/>
      <c r="E32" s="50"/>
      <c r="F32" s="25"/>
      <c r="G32" s="62"/>
      <c r="H32" s="26"/>
      <c r="I32" s="26"/>
    </row>
    <row r="33">
      <c r="A33" s="63" t="s">
        <v>51</v>
      </c>
      <c r="B33" s="64"/>
      <c r="C33" s="64"/>
      <c r="D33" s="64"/>
      <c r="E33" s="65"/>
      <c r="F33" s="63" t="s">
        <v>52</v>
      </c>
      <c r="G33" s="64"/>
      <c r="H33" s="64"/>
      <c r="I33" s="64"/>
      <c r="J33" s="65"/>
    </row>
    <row r="34">
      <c r="A34" s="66" t="s">
        <v>53</v>
      </c>
      <c r="B34" s="67"/>
      <c r="C34" s="68" t="s">
        <v>54</v>
      </c>
      <c r="D34" s="69"/>
      <c r="E34" s="70"/>
      <c r="F34" s="66" t="s">
        <v>53</v>
      </c>
      <c r="G34" s="67"/>
      <c r="H34" s="68" t="s">
        <v>54</v>
      </c>
      <c r="I34" s="69"/>
      <c r="J34" s="70"/>
    </row>
    <row r="35">
      <c r="A35" s="71" t="s">
        <v>55</v>
      </c>
      <c r="B35" s="72"/>
      <c r="C35" s="73" t="s">
        <v>56</v>
      </c>
      <c r="D35" s="74"/>
      <c r="E35" s="75"/>
      <c r="F35" s="71" t="s">
        <v>55</v>
      </c>
      <c r="G35" s="72"/>
      <c r="H35" s="73" t="s">
        <v>57</v>
      </c>
      <c r="I35" s="74"/>
      <c r="J35" s="75"/>
    </row>
    <row r="36">
      <c r="A36" s="76" t="s">
        <v>58</v>
      </c>
      <c r="B36" s="77"/>
      <c r="C36" s="78" t="s">
        <v>59</v>
      </c>
      <c r="D36" s="79"/>
      <c r="E36" s="80"/>
      <c r="F36" s="76" t="s">
        <v>58</v>
      </c>
      <c r="G36" s="77"/>
      <c r="H36" s="78" t="s">
        <v>60</v>
      </c>
      <c r="I36" s="79"/>
      <c r="J36" s="80"/>
    </row>
    <row r="37">
      <c r="A37" s="76" t="s">
        <v>61</v>
      </c>
      <c r="B37" s="77"/>
      <c r="C37" s="78"/>
      <c r="D37" s="79"/>
      <c r="E37" s="80"/>
      <c r="F37" s="76" t="s">
        <v>61</v>
      </c>
      <c r="G37" s="77"/>
      <c r="H37" s="78" t="s">
        <v>62</v>
      </c>
      <c r="I37" s="79"/>
      <c r="J37" s="80"/>
    </row>
    <row r="38">
      <c r="A38" s="76" t="s">
        <v>63</v>
      </c>
      <c r="B38" s="77"/>
      <c r="C38" s="78" t="s">
        <v>64</v>
      </c>
      <c r="D38" s="79"/>
      <c r="E38" s="80"/>
      <c r="F38" s="76" t="s">
        <v>63</v>
      </c>
      <c r="G38" s="77"/>
      <c r="H38" s="78" t="s">
        <v>65</v>
      </c>
      <c r="I38" s="79"/>
      <c r="J38" s="80"/>
    </row>
    <row r="39">
      <c r="A39" s="76" t="s">
        <v>66</v>
      </c>
      <c r="B39" s="77"/>
      <c r="C39" s="78"/>
      <c r="D39" s="79"/>
      <c r="E39" s="80"/>
      <c r="F39" s="76" t="s">
        <v>66</v>
      </c>
      <c r="G39" s="77"/>
      <c r="H39" s="78" t="s">
        <v>67</v>
      </c>
      <c r="I39" s="79"/>
      <c r="J39" s="80"/>
    </row>
    <row r="40">
      <c r="A40" s="76" t="s">
        <v>68</v>
      </c>
      <c r="B40" s="77"/>
      <c r="C40" s="78"/>
      <c r="D40" s="79"/>
      <c r="E40" s="80"/>
      <c r="F40" s="76" t="s">
        <v>68</v>
      </c>
      <c r="G40" s="77"/>
      <c r="H40" s="78" t="s">
        <v>69</v>
      </c>
      <c r="I40" s="79"/>
      <c r="J40" s="80"/>
    </row>
    <row r="41">
      <c r="A41" s="76" t="s">
        <v>70</v>
      </c>
      <c r="B41" s="77"/>
      <c r="C41" s="78"/>
      <c r="D41" s="79"/>
      <c r="E41" s="80"/>
      <c r="F41" s="76" t="s">
        <v>70</v>
      </c>
      <c r="G41" s="77"/>
      <c r="H41" s="78" t="s">
        <v>71</v>
      </c>
      <c r="I41" s="79"/>
      <c r="J41" s="80"/>
    </row>
    <row r="42">
      <c r="A42" s="76" t="s">
        <v>72</v>
      </c>
      <c r="B42" s="77"/>
      <c r="C42" s="78" t="s">
        <v>73</v>
      </c>
      <c r="D42" s="79"/>
      <c r="E42" s="80"/>
      <c r="F42" s="76" t="s">
        <v>74</v>
      </c>
      <c r="G42" s="77"/>
      <c r="H42" s="78" t="s">
        <v>75</v>
      </c>
      <c r="I42" s="79"/>
      <c r="J42" s="80"/>
    </row>
    <row r="43">
      <c r="A43" s="76" t="s">
        <v>76</v>
      </c>
      <c r="B43" s="77"/>
      <c r="C43" s="78"/>
      <c r="D43" s="79"/>
      <c r="E43" s="80"/>
      <c r="F43" s="76" t="s">
        <v>77</v>
      </c>
      <c r="G43" s="77"/>
      <c r="H43" s="78"/>
      <c r="I43" s="79"/>
      <c r="J43" s="80"/>
    </row>
    <row r="44">
      <c r="A44" s="76" t="s">
        <v>78</v>
      </c>
      <c r="B44" s="77"/>
      <c r="C44" s="78" t="s">
        <v>79</v>
      </c>
      <c r="D44" s="79"/>
      <c r="E44" s="80"/>
      <c r="F44" s="76" t="s">
        <v>80</v>
      </c>
      <c r="G44" s="77"/>
      <c r="H44" s="78" t="s">
        <v>81</v>
      </c>
      <c r="I44" s="79"/>
      <c r="J44" s="80"/>
    </row>
    <row r="45">
      <c r="A45" s="76" t="s">
        <v>82</v>
      </c>
      <c r="B45" s="77"/>
      <c r="C45" s="78" t="s">
        <v>83</v>
      </c>
      <c r="D45" s="79"/>
      <c r="E45" s="80"/>
      <c r="F45" s="76" t="s">
        <v>84</v>
      </c>
      <c r="G45" s="77"/>
      <c r="H45" s="78"/>
      <c r="I45" s="79"/>
      <c r="J45" s="80"/>
    </row>
    <row r="46">
      <c r="A46" s="81" t="s">
        <v>85</v>
      </c>
      <c r="B46" s="82"/>
      <c r="C46" s="83"/>
      <c r="D46" s="84"/>
      <c r="E46" s="85"/>
      <c r="F46" s="81" t="s">
        <v>86</v>
      </c>
      <c r="G46" s="82"/>
      <c r="H46" s="86" t="s">
        <v>87</v>
      </c>
      <c r="I46" s="84"/>
      <c r="J46" s="85"/>
    </row>
    <row r="47">
      <c r="A47" s="87"/>
      <c r="B47" s="88"/>
      <c r="C47" s="89"/>
      <c r="D47" s="90"/>
      <c r="E47" s="62"/>
      <c r="F47" s="91"/>
      <c r="G47" s="62"/>
      <c r="H47" s="92"/>
      <c r="I47" s="92"/>
    </row>
    <row r="48">
      <c r="A48" s="93" t="s">
        <v>88</v>
      </c>
      <c r="B48" s="94"/>
      <c r="C48" s="94"/>
      <c r="D48" s="94"/>
      <c r="E48" s="94"/>
      <c r="F48" s="94"/>
      <c r="G48" s="94"/>
      <c r="H48" s="94"/>
      <c r="I48" s="94"/>
      <c r="J48" s="95"/>
    </row>
    <row r="49">
      <c r="A49" s="96"/>
      <c r="B49" s="97"/>
      <c r="C49" s="97"/>
      <c r="D49" s="97"/>
      <c r="E49" s="97"/>
      <c r="F49" s="97"/>
      <c r="G49" s="97"/>
      <c r="H49" s="97"/>
      <c r="I49" s="97"/>
      <c r="J49" s="98"/>
    </row>
    <row r="50" ht="10.5" customHeight="1">
      <c r="A50" s="99" t="s">
        <v>89</v>
      </c>
      <c r="B50" s="94"/>
      <c r="C50" s="94"/>
      <c r="D50" s="94"/>
      <c r="E50" s="94"/>
      <c r="F50" s="94"/>
      <c r="G50" s="94"/>
      <c r="H50" s="94"/>
      <c r="I50" s="94"/>
      <c r="J50" s="95"/>
    </row>
    <row r="51" ht="10.5" customHeight="1">
      <c r="A51" s="100"/>
      <c r="J51" s="101"/>
    </row>
    <row r="52" ht="10.5" customHeight="1">
      <c r="A52" s="100"/>
      <c r="J52" s="101"/>
    </row>
    <row r="53" ht="10.5" customHeight="1">
      <c r="A53" s="100"/>
      <c r="J53" s="101"/>
    </row>
    <row r="54" ht="10.5" customHeight="1">
      <c r="A54" s="100"/>
      <c r="J54" s="101"/>
    </row>
    <row r="55" ht="10.5" customHeight="1">
      <c r="A55" s="100"/>
      <c r="J55" s="101"/>
    </row>
    <row r="56" ht="10.5" customHeight="1">
      <c r="A56" s="100"/>
      <c r="J56" s="101"/>
    </row>
    <row r="57" ht="10.5" customHeight="1">
      <c r="A57" s="100"/>
      <c r="J57" s="101"/>
    </row>
    <row r="58" ht="10.5" customHeight="1">
      <c r="A58" s="100"/>
      <c r="J58" s="101"/>
    </row>
    <row r="59" ht="10.5" customHeight="1">
      <c r="A59" s="100"/>
      <c r="J59" s="101"/>
    </row>
    <row r="60" ht="10.5" customHeight="1">
      <c r="A60" s="100"/>
      <c r="J60" s="101"/>
    </row>
    <row r="61" ht="10.5" customHeight="1">
      <c r="A61" s="100"/>
      <c r="J61" s="101"/>
    </row>
    <row r="62" ht="10.5" customHeight="1">
      <c r="A62" s="100"/>
      <c r="J62" s="101"/>
    </row>
    <row r="63" ht="10.5" customHeight="1">
      <c r="A63" s="100"/>
      <c r="J63" s="101"/>
    </row>
    <row r="64" ht="10.5" customHeight="1">
      <c r="A64" s="100"/>
      <c r="J64" s="101"/>
    </row>
    <row r="65" ht="10.5" customHeight="1">
      <c r="A65" s="100"/>
      <c r="J65" s="101"/>
    </row>
    <row r="66" ht="10.5" customHeight="1">
      <c r="A66" s="100"/>
      <c r="J66" s="101"/>
    </row>
    <row r="67" ht="10.5" customHeight="1">
      <c r="A67" s="100"/>
      <c r="J67" s="101"/>
    </row>
    <row r="68" ht="10.5" customHeight="1">
      <c r="A68" s="96"/>
      <c r="B68" s="97"/>
      <c r="C68" s="97"/>
      <c r="D68" s="97"/>
      <c r="E68" s="97"/>
      <c r="F68" s="97"/>
      <c r="G68" s="97"/>
      <c r="H68" s="97"/>
      <c r="I68" s="97"/>
      <c r="J68" s="98"/>
    </row>
    <row r="69">
      <c r="A69" s="92"/>
      <c r="B69" s="88"/>
      <c r="C69" s="92"/>
      <c r="D69" s="91"/>
      <c r="E69" s="91"/>
      <c r="F69" s="91"/>
      <c r="G69" s="62"/>
      <c r="H69" s="92"/>
      <c r="I69" s="92"/>
      <c r="J69" s="92"/>
    </row>
    <row r="70">
      <c r="A70" s="102" t="s">
        <v>53</v>
      </c>
      <c r="B70" s="103" t="s">
        <v>90</v>
      </c>
      <c r="C70" s="102" t="s">
        <v>91</v>
      </c>
      <c r="D70" s="104" t="s">
        <v>54</v>
      </c>
      <c r="E70" s="3"/>
      <c r="F70" s="4"/>
      <c r="G70" s="105" t="s">
        <v>92</v>
      </c>
      <c r="H70" s="105" t="s">
        <v>93</v>
      </c>
      <c r="I70" s="106" t="s">
        <v>94</v>
      </c>
      <c r="J70" s="106" t="s">
        <v>95</v>
      </c>
    </row>
    <row r="71">
      <c r="A71" s="107" t="s">
        <v>96</v>
      </c>
      <c r="B71" s="58"/>
      <c r="C71" s="58"/>
      <c r="D71" s="58"/>
      <c r="E71" s="58"/>
      <c r="F71" s="58"/>
      <c r="G71" s="58"/>
      <c r="H71" s="58"/>
      <c r="I71" s="58"/>
      <c r="J71" s="59"/>
    </row>
    <row r="72">
      <c r="A72" s="108" t="s">
        <v>97</v>
      </c>
      <c r="B72" s="109" t="s">
        <v>98</v>
      </c>
      <c r="C72" s="110">
        <v>1.0</v>
      </c>
      <c r="D72" s="111" t="s">
        <v>99</v>
      </c>
      <c r="E72" s="3"/>
      <c r="F72" s="4"/>
      <c r="G72" s="112" t="s">
        <v>100</v>
      </c>
      <c r="H72" s="113">
        <f t="shared" ref="H72:H81" si="3">IF(G72="〇", 1, IF(G72="△", 0.5, 0))</f>
        <v>1</v>
      </c>
      <c r="I72" s="114" t="s">
        <v>101</v>
      </c>
      <c r="J72" s="115" t="s">
        <v>102</v>
      </c>
    </row>
    <row r="73">
      <c r="A73" s="116"/>
      <c r="B73" s="116"/>
      <c r="C73" s="110">
        <v>2.0</v>
      </c>
      <c r="D73" s="111" t="s">
        <v>103</v>
      </c>
      <c r="E73" s="3"/>
      <c r="F73" s="4"/>
      <c r="G73" s="112" t="s">
        <v>100</v>
      </c>
      <c r="H73" s="113">
        <f t="shared" si="3"/>
        <v>1</v>
      </c>
      <c r="I73" s="114" t="s">
        <v>101</v>
      </c>
      <c r="J73" s="117" t="s">
        <v>102</v>
      </c>
    </row>
    <row r="74">
      <c r="A74" s="116"/>
      <c r="B74" s="118"/>
      <c r="C74" s="110">
        <v>3.0</v>
      </c>
      <c r="D74" s="111" t="s">
        <v>104</v>
      </c>
      <c r="E74" s="3"/>
      <c r="F74" s="4"/>
      <c r="G74" s="112" t="s">
        <v>100</v>
      </c>
      <c r="H74" s="113">
        <f t="shared" si="3"/>
        <v>1</v>
      </c>
      <c r="I74" s="114" t="s">
        <v>105</v>
      </c>
      <c r="J74" s="115" t="s">
        <v>106</v>
      </c>
    </row>
    <row r="75">
      <c r="A75" s="116"/>
      <c r="B75" s="109" t="s">
        <v>107</v>
      </c>
      <c r="C75" s="110">
        <v>4.0</v>
      </c>
      <c r="D75" s="111" t="s">
        <v>108</v>
      </c>
      <c r="E75" s="3"/>
      <c r="F75" s="4"/>
      <c r="G75" s="112" t="s">
        <v>100</v>
      </c>
      <c r="H75" s="113">
        <f t="shared" si="3"/>
        <v>1</v>
      </c>
      <c r="I75" s="114" t="s">
        <v>109</v>
      </c>
      <c r="J75" s="119"/>
    </row>
    <row r="76">
      <c r="A76" s="116"/>
      <c r="B76" s="116"/>
      <c r="C76" s="110">
        <v>5.0</v>
      </c>
      <c r="D76" s="111" t="s">
        <v>110</v>
      </c>
      <c r="E76" s="3"/>
      <c r="F76" s="4"/>
      <c r="G76" s="112" t="s">
        <v>100</v>
      </c>
      <c r="H76" s="113">
        <f t="shared" si="3"/>
        <v>1</v>
      </c>
      <c r="I76" s="114" t="s">
        <v>111</v>
      </c>
      <c r="J76" s="115" t="s">
        <v>112</v>
      </c>
    </row>
    <row r="77">
      <c r="A77" s="116"/>
      <c r="B77" s="116"/>
      <c r="C77" s="110">
        <v>6.0</v>
      </c>
      <c r="D77" s="111" t="s">
        <v>113</v>
      </c>
      <c r="E77" s="3"/>
      <c r="F77" s="4"/>
      <c r="G77" s="112" t="s">
        <v>114</v>
      </c>
      <c r="H77" s="113">
        <f t="shared" si="3"/>
        <v>0</v>
      </c>
      <c r="I77" s="114" t="s">
        <v>115</v>
      </c>
      <c r="J77" s="115"/>
    </row>
    <row r="78">
      <c r="A78" s="116"/>
      <c r="B78" s="118"/>
      <c r="C78" s="110">
        <v>7.0</v>
      </c>
      <c r="D78" s="111" t="s">
        <v>116</v>
      </c>
      <c r="E78" s="3"/>
      <c r="F78" s="4"/>
      <c r="G78" s="112" t="s">
        <v>114</v>
      </c>
      <c r="H78" s="113">
        <f t="shared" si="3"/>
        <v>0</v>
      </c>
      <c r="I78" s="114" t="s">
        <v>117</v>
      </c>
      <c r="J78" s="115" t="s">
        <v>118</v>
      </c>
    </row>
    <row r="79">
      <c r="A79" s="116"/>
      <c r="B79" s="120" t="s">
        <v>119</v>
      </c>
      <c r="C79" s="121">
        <v>8.0</v>
      </c>
      <c r="D79" s="111" t="s">
        <v>120</v>
      </c>
      <c r="E79" s="3"/>
      <c r="F79" s="4"/>
      <c r="G79" s="112" t="s">
        <v>100</v>
      </c>
      <c r="H79" s="113">
        <f t="shared" si="3"/>
        <v>1</v>
      </c>
      <c r="I79" s="114" t="s">
        <v>121</v>
      </c>
      <c r="J79" s="115"/>
    </row>
    <row r="80">
      <c r="A80" s="116"/>
      <c r="B80" s="54"/>
      <c r="C80" s="121">
        <v>9.0</v>
      </c>
      <c r="D80" s="111" t="s">
        <v>122</v>
      </c>
      <c r="E80" s="3"/>
      <c r="F80" s="4"/>
      <c r="G80" s="112" t="s">
        <v>100</v>
      </c>
      <c r="H80" s="113">
        <f t="shared" si="3"/>
        <v>1</v>
      </c>
      <c r="I80" s="114" t="s">
        <v>123</v>
      </c>
      <c r="J80" s="115" t="s">
        <v>124</v>
      </c>
    </row>
    <row r="81">
      <c r="A81" s="118"/>
      <c r="B81" s="54"/>
      <c r="C81" s="121">
        <v>10.0</v>
      </c>
      <c r="D81" s="111" t="s">
        <v>125</v>
      </c>
      <c r="E81" s="3"/>
      <c r="F81" s="4"/>
      <c r="G81" s="112" t="s">
        <v>114</v>
      </c>
      <c r="H81" s="113">
        <f t="shared" si="3"/>
        <v>0</v>
      </c>
      <c r="I81" s="114" t="s">
        <v>126</v>
      </c>
      <c r="J81" s="115" t="s">
        <v>127</v>
      </c>
    </row>
    <row r="82">
      <c r="A82" s="107" t="s">
        <v>128</v>
      </c>
      <c r="B82" s="58"/>
      <c r="C82" s="58"/>
      <c r="D82" s="58"/>
      <c r="E82" s="58"/>
      <c r="F82" s="58"/>
      <c r="G82" s="58"/>
      <c r="H82" s="58"/>
      <c r="I82" s="58"/>
      <c r="J82" s="59"/>
    </row>
    <row r="83">
      <c r="A83" s="122" t="s">
        <v>33</v>
      </c>
      <c r="B83" s="123" t="s">
        <v>129</v>
      </c>
      <c r="C83" s="124">
        <v>1.0</v>
      </c>
      <c r="D83" s="125" t="s">
        <v>130</v>
      </c>
      <c r="E83" s="3"/>
      <c r="F83" s="4"/>
      <c r="G83" s="112" t="s">
        <v>100</v>
      </c>
      <c r="H83" s="113">
        <f t="shared" ref="H83:H160" si="4">IF(G83="〇", 1, IF(G83="△", 0.5, 0))</f>
        <v>1</v>
      </c>
      <c r="I83" s="126"/>
      <c r="J83" s="127"/>
    </row>
    <row r="84">
      <c r="A84" s="53"/>
      <c r="B84" s="116"/>
      <c r="C84" s="124">
        <v>2.0</v>
      </c>
      <c r="D84" s="128" t="s">
        <v>131</v>
      </c>
      <c r="E84" s="3"/>
      <c r="F84" s="4"/>
      <c r="G84" s="112" t="s">
        <v>100</v>
      </c>
      <c r="H84" s="113">
        <f t="shared" si="4"/>
        <v>1</v>
      </c>
      <c r="I84" s="129" t="s">
        <v>132</v>
      </c>
      <c r="J84" s="130"/>
    </row>
    <row r="85">
      <c r="A85" s="53"/>
      <c r="B85" s="116"/>
      <c r="C85" s="124">
        <v>3.0</v>
      </c>
      <c r="D85" s="128" t="s">
        <v>133</v>
      </c>
      <c r="E85" s="3"/>
      <c r="F85" s="4"/>
      <c r="G85" s="112" t="s">
        <v>100</v>
      </c>
      <c r="H85" s="113">
        <f t="shared" si="4"/>
        <v>1</v>
      </c>
      <c r="I85" s="129" t="s">
        <v>134</v>
      </c>
      <c r="J85" s="130"/>
    </row>
    <row r="86">
      <c r="A86" s="53"/>
      <c r="B86" s="116"/>
      <c r="C86" s="124">
        <v>4.0</v>
      </c>
      <c r="D86" s="128" t="s">
        <v>135</v>
      </c>
      <c r="E86" s="3"/>
      <c r="F86" s="4"/>
      <c r="G86" s="112" t="s">
        <v>100</v>
      </c>
      <c r="H86" s="113">
        <f t="shared" si="4"/>
        <v>1</v>
      </c>
      <c r="I86" s="131"/>
      <c r="J86" s="132"/>
    </row>
    <row r="87">
      <c r="A87" s="53"/>
      <c r="B87" s="116"/>
      <c r="C87" s="124">
        <v>5.0</v>
      </c>
      <c r="D87" s="128" t="s">
        <v>136</v>
      </c>
      <c r="E87" s="3"/>
      <c r="F87" s="4"/>
      <c r="G87" s="112" t="s">
        <v>137</v>
      </c>
      <c r="H87" s="113">
        <f t="shared" si="4"/>
        <v>0.5</v>
      </c>
      <c r="I87" s="129" t="s">
        <v>138</v>
      </c>
      <c r="J87" s="130"/>
    </row>
    <row r="88">
      <c r="A88" s="53"/>
      <c r="B88" s="116"/>
      <c r="C88" s="124">
        <v>6.0</v>
      </c>
      <c r="D88" s="128" t="s">
        <v>139</v>
      </c>
      <c r="E88" s="3"/>
      <c r="F88" s="4"/>
      <c r="G88" s="112" t="s">
        <v>100</v>
      </c>
      <c r="H88" s="113">
        <f t="shared" si="4"/>
        <v>1</v>
      </c>
      <c r="I88" s="131"/>
      <c r="J88" s="132"/>
    </row>
    <row r="89">
      <c r="A89" s="53"/>
      <c r="B89" s="116"/>
      <c r="C89" s="124">
        <v>7.0</v>
      </c>
      <c r="D89" s="111" t="s">
        <v>140</v>
      </c>
      <c r="E89" s="3"/>
      <c r="F89" s="4"/>
      <c r="G89" s="112" t="s">
        <v>100</v>
      </c>
      <c r="H89" s="113">
        <f t="shared" si="4"/>
        <v>1</v>
      </c>
      <c r="I89" s="131"/>
      <c r="J89" s="132"/>
    </row>
    <row r="90">
      <c r="A90" s="53"/>
      <c r="B90" s="118"/>
      <c r="C90" s="124">
        <v>8.0</v>
      </c>
      <c r="D90" s="111" t="s">
        <v>141</v>
      </c>
      <c r="E90" s="3"/>
      <c r="F90" s="4"/>
      <c r="G90" s="112" t="s">
        <v>100</v>
      </c>
      <c r="H90" s="113">
        <f t="shared" si="4"/>
        <v>1</v>
      </c>
      <c r="I90" s="131"/>
      <c r="J90" s="132"/>
    </row>
    <row r="91">
      <c r="A91" s="53"/>
      <c r="B91" s="123" t="s">
        <v>142</v>
      </c>
      <c r="C91" s="124">
        <v>9.0</v>
      </c>
      <c r="D91" s="128" t="s">
        <v>143</v>
      </c>
      <c r="E91" s="3"/>
      <c r="F91" s="4"/>
      <c r="G91" s="112" t="s">
        <v>137</v>
      </c>
      <c r="H91" s="113">
        <f t="shared" si="4"/>
        <v>0.5</v>
      </c>
      <c r="I91" s="131"/>
      <c r="J91" s="132"/>
    </row>
    <row r="92">
      <c r="A92" s="53"/>
      <c r="B92" s="116"/>
      <c r="C92" s="124">
        <v>10.0</v>
      </c>
      <c r="D92" s="125" t="s">
        <v>144</v>
      </c>
      <c r="E92" s="3"/>
      <c r="F92" s="4"/>
      <c r="G92" s="112" t="s">
        <v>100</v>
      </c>
      <c r="H92" s="113">
        <f t="shared" si="4"/>
        <v>1</v>
      </c>
      <c r="I92" s="131"/>
      <c r="J92" s="132"/>
    </row>
    <row r="93">
      <c r="A93" s="53"/>
      <c r="B93" s="116"/>
      <c r="C93" s="124">
        <v>11.0</v>
      </c>
      <c r="D93" s="125" t="s">
        <v>145</v>
      </c>
      <c r="E93" s="3"/>
      <c r="F93" s="4"/>
      <c r="G93" s="112" t="s">
        <v>100</v>
      </c>
      <c r="H93" s="113">
        <f t="shared" si="4"/>
        <v>1</v>
      </c>
      <c r="I93" s="133"/>
      <c r="J93" s="134"/>
    </row>
    <row r="94">
      <c r="A94" s="53"/>
      <c r="B94" s="116"/>
      <c r="C94" s="124">
        <v>12.0</v>
      </c>
      <c r="D94" s="128" t="s">
        <v>146</v>
      </c>
      <c r="E94" s="3"/>
      <c r="F94" s="4"/>
      <c r="G94" s="112" t="s">
        <v>100</v>
      </c>
      <c r="H94" s="135">
        <f t="shared" si="4"/>
        <v>1</v>
      </c>
      <c r="I94" s="136"/>
      <c r="J94" s="136"/>
    </row>
    <row r="95">
      <c r="A95" s="53"/>
      <c r="B95" s="118"/>
      <c r="C95" s="124">
        <v>13.0</v>
      </c>
      <c r="D95" s="125" t="s">
        <v>147</v>
      </c>
      <c r="E95" s="3"/>
      <c r="F95" s="4"/>
      <c r="G95" s="112" t="s">
        <v>100</v>
      </c>
      <c r="H95" s="135">
        <f t="shared" si="4"/>
        <v>1</v>
      </c>
      <c r="I95" s="136"/>
      <c r="J95" s="136"/>
    </row>
    <row r="96">
      <c r="A96" s="53"/>
      <c r="B96" s="137"/>
      <c r="C96" s="138">
        <v>14.0</v>
      </c>
      <c r="D96" s="128" t="s">
        <v>148</v>
      </c>
      <c r="E96" s="3"/>
      <c r="F96" s="4"/>
      <c r="G96" s="112" t="s">
        <v>100</v>
      </c>
      <c r="H96" s="135">
        <f t="shared" si="4"/>
        <v>1</v>
      </c>
      <c r="I96" s="136"/>
      <c r="J96" s="136"/>
    </row>
    <row r="97">
      <c r="A97" s="53"/>
      <c r="B97" s="137"/>
      <c r="C97" s="138">
        <v>15.0</v>
      </c>
      <c r="D97" s="128" t="s">
        <v>149</v>
      </c>
      <c r="E97" s="3"/>
      <c r="F97" s="4"/>
      <c r="G97" s="112" t="s">
        <v>100</v>
      </c>
      <c r="H97" s="135">
        <f t="shared" si="4"/>
        <v>1</v>
      </c>
      <c r="I97" s="136"/>
      <c r="J97" s="136"/>
    </row>
    <row r="98">
      <c r="A98" s="53"/>
      <c r="B98" s="137"/>
      <c r="C98" s="138">
        <v>16.0</v>
      </c>
      <c r="D98" s="128" t="s">
        <v>150</v>
      </c>
      <c r="E98" s="3"/>
      <c r="F98" s="4"/>
      <c r="G98" s="112" t="s">
        <v>100</v>
      </c>
      <c r="H98" s="135">
        <f t="shared" si="4"/>
        <v>1</v>
      </c>
      <c r="I98" s="136"/>
      <c r="J98" s="136"/>
    </row>
    <row r="99">
      <c r="A99" s="53"/>
      <c r="B99" s="137" t="s">
        <v>151</v>
      </c>
      <c r="C99" s="138">
        <v>17.0</v>
      </c>
      <c r="D99" s="128" t="s">
        <v>152</v>
      </c>
      <c r="E99" s="3"/>
      <c r="F99" s="4"/>
      <c r="G99" s="112" t="s">
        <v>114</v>
      </c>
      <c r="H99" s="135">
        <f t="shared" si="4"/>
        <v>0</v>
      </c>
      <c r="I99" s="136"/>
      <c r="J99" s="136"/>
    </row>
    <row r="100">
      <c r="A100" s="53"/>
      <c r="B100" s="137"/>
      <c r="C100" s="138">
        <v>18.0</v>
      </c>
      <c r="D100" s="128" t="s">
        <v>153</v>
      </c>
      <c r="E100" s="3"/>
      <c r="F100" s="4"/>
      <c r="G100" s="112" t="s">
        <v>100</v>
      </c>
      <c r="H100" s="135">
        <f t="shared" si="4"/>
        <v>1</v>
      </c>
      <c r="I100" s="136"/>
      <c r="J100" s="136"/>
    </row>
    <row r="101">
      <c r="A101" s="53"/>
      <c r="B101" s="137"/>
      <c r="C101" s="138">
        <v>19.0</v>
      </c>
      <c r="D101" s="139" t="s">
        <v>154</v>
      </c>
      <c r="E101" s="3"/>
      <c r="F101" s="4"/>
      <c r="G101" s="112" t="s">
        <v>100</v>
      </c>
      <c r="H101" s="135">
        <f t="shared" si="4"/>
        <v>1</v>
      </c>
      <c r="I101" s="136"/>
      <c r="J101" s="136"/>
    </row>
    <row r="102">
      <c r="A102" s="53"/>
      <c r="B102" s="137"/>
      <c r="C102" s="138">
        <v>20.0</v>
      </c>
      <c r="D102" s="139" t="s">
        <v>155</v>
      </c>
      <c r="E102" s="3"/>
      <c r="F102" s="4"/>
      <c r="G102" s="112" t="s">
        <v>100</v>
      </c>
      <c r="H102" s="135">
        <f t="shared" si="4"/>
        <v>1</v>
      </c>
      <c r="I102" s="136"/>
      <c r="J102" s="136"/>
    </row>
    <row r="103">
      <c r="A103" s="53"/>
      <c r="B103" s="137"/>
      <c r="C103" s="138">
        <v>21.0</v>
      </c>
      <c r="D103" s="139" t="s">
        <v>156</v>
      </c>
      <c r="E103" s="3"/>
      <c r="F103" s="4"/>
      <c r="G103" s="112" t="s">
        <v>100</v>
      </c>
      <c r="H103" s="135">
        <f t="shared" si="4"/>
        <v>1</v>
      </c>
      <c r="I103" s="136"/>
      <c r="J103" s="136"/>
    </row>
    <row r="104">
      <c r="A104" s="57"/>
      <c r="B104" s="137"/>
      <c r="C104" s="138">
        <v>22.0</v>
      </c>
      <c r="D104" s="111" t="s">
        <v>157</v>
      </c>
      <c r="E104" s="3"/>
      <c r="F104" s="4"/>
      <c r="G104" s="112" t="s">
        <v>100</v>
      </c>
      <c r="H104" s="135">
        <f t="shared" si="4"/>
        <v>1</v>
      </c>
      <c r="I104" s="136"/>
      <c r="J104" s="136"/>
    </row>
    <row r="105">
      <c r="A105" s="140" t="s">
        <v>34</v>
      </c>
      <c r="B105" s="141" t="s">
        <v>158</v>
      </c>
      <c r="C105" s="138">
        <v>1.0</v>
      </c>
      <c r="D105" s="2" t="s">
        <v>159</v>
      </c>
      <c r="E105" s="3"/>
      <c r="F105" s="4"/>
      <c r="G105" s="112" t="s">
        <v>100</v>
      </c>
      <c r="H105" s="135">
        <f t="shared" si="4"/>
        <v>1</v>
      </c>
      <c r="I105" s="136"/>
      <c r="J105" s="136"/>
    </row>
    <row r="106">
      <c r="A106" s="142"/>
      <c r="B106" s="142"/>
      <c r="C106" s="138">
        <v>2.0</v>
      </c>
      <c r="D106" s="2" t="s">
        <v>160</v>
      </c>
      <c r="E106" s="3"/>
      <c r="F106" s="4"/>
      <c r="G106" s="112" t="s">
        <v>100</v>
      </c>
      <c r="H106" s="135">
        <f t="shared" si="4"/>
        <v>1</v>
      </c>
      <c r="I106" s="136"/>
      <c r="J106" s="136"/>
    </row>
    <row r="107">
      <c r="A107" s="142"/>
      <c r="B107" s="142"/>
      <c r="C107" s="138">
        <v>3.0</v>
      </c>
      <c r="D107" s="21" t="s">
        <v>161</v>
      </c>
      <c r="E107" s="3"/>
      <c r="F107" s="4"/>
      <c r="G107" s="112" t="s">
        <v>100</v>
      </c>
      <c r="H107" s="135">
        <f t="shared" si="4"/>
        <v>1</v>
      </c>
      <c r="I107" s="136"/>
      <c r="J107" s="136"/>
    </row>
    <row r="108">
      <c r="A108" s="142"/>
      <c r="B108" s="142"/>
      <c r="C108" s="138">
        <v>4.0</v>
      </c>
      <c r="D108" s="2" t="s">
        <v>162</v>
      </c>
      <c r="E108" s="3"/>
      <c r="F108" s="4"/>
      <c r="G108" s="112" t="s">
        <v>100</v>
      </c>
      <c r="H108" s="135">
        <f t="shared" si="4"/>
        <v>1</v>
      </c>
      <c r="I108" s="136"/>
      <c r="J108" s="136"/>
    </row>
    <row r="109">
      <c r="A109" s="142"/>
      <c r="B109" s="142"/>
      <c r="C109" s="138">
        <v>5.0</v>
      </c>
      <c r="D109" s="21" t="s">
        <v>163</v>
      </c>
      <c r="E109" s="3"/>
      <c r="F109" s="4"/>
      <c r="G109" s="112" t="s">
        <v>100</v>
      </c>
      <c r="H109" s="135">
        <f t="shared" si="4"/>
        <v>1</v>
      </c>
      <c r="I109" s="136"/>
      <c r="J109" s="136"/>
    </row>
    <row r="110">
      <c r="A110" s="142"/>
      <c r="B110" s="142"/>
      <c r="C110" s="138">
        <v>6.0</v>
      </c>
      <c r="D110" s="21" t="s">
        <v>164</v>
      </c>
      <c r="E110" s="3"/>
      <c r="F110" s="4"/>
      <c r="G110" s="112" t="s">
        <v>137</v>
      </c>
      <c r="H110" s="135">
        <f t="shared" si="4"/>
        <v>0.5</v>
      </c>
      <c r="I110" s="136"/>
      <c r="J110" s="136"/>
    </row>
    <row r="111">
      <c r="A111" s="142"/>
      <c r="B111" s="142"/>
      <c r="C111" s="138">
        <v>7.0</v>
      </c>
      <c r="D111" s="21" t="s">
        <v>165</v>
      </c>
      <c r="E111" s="3"/>
      <c r="F111" s="4"/>
      <c r="G111" s="112" t="s">
        <v>100</v>
      </c>
      <c r="H111" s="135">
        <f t="shared" si="4"/>
        <v>1</v>
      </c>
      <c r="I111" s="136"/>
      <c r="J111" s="136"/>
    </row>
    <row r="112">
      <c r="A112" s="142"/>
      <c r="B112" s="142"/>
      <c r="C112" s="138">
        <v>8.0</v>
      </c>
      <c r="D112" s="21" t="s">
        <v>166</v>
      </c>
      <c r="E112" s="3"/>
      <c r="F112" s="4"/>
      <c r="G112" s="112" t="s">
        <v>114</v>
      </c>
      <c r="H112" s="135">
        <f t="shared" si="4"/>
        <v>0</v>
      </c>
      <c r="I112" s="136"/>
      <c r="J112" s="136"/>
    </row>
    <row r="113">
      <c r="A113" s="142"/>
      <c r="B113" s="142"/>
      <c r="C113" s="138">
        <v>9.0</v>
      </c>
      <c r="D113" s="21" t="s">
        <v>167</v>
      </c>
      <c r="E113" s="3"/>
      <c r="F113" s="4"/>
      <c r="G113" s="112" t="s">
        <v>100</v>
      </c>
      <c r="H113" s="135">
        <f t="shared" si="4"/>
        <v>1</v>
      </c>
      <c r="I113" s="136"/>
      <c r="J113" s="136"/>
    </row>
    <row r="114">
      <c r="A114" s="142"/>
      <c r="B114" s="142"/>
      <c r="C114" s="138">
        <v>10.0</v>
      </c>
      <c r="D114" s="21" t="s">
        <v>168</v>
      </c>
      <c r="E114" s="3"/>
      <c r="F114" s="4"/>
      <c r="G114" s="112" t="s">
        <v>100</v>
      </c>
      <c r="H114" s="135">
        <f t="shared" si="4"/>
        <v>1</v>
      </c>
      <c r="I114" s="136"/>
      <c r="J114" s="136"/>
    </row>
    <row r="115">
      <c r="A115" s="142"/>
      <c r="B115" s="142"/>
      <c r="C115" s="138">
        <v>11.0</v>
      </c>
      <c r="D115" s="2" t="s">
        <v>169</v>
      </c>
      <c r="E115" s="3"/>
      <c r="F115" s="4"/>
      <c r="G115" s="112" t="s">
        <v>114</v>
      </c>
      <c r="H115" s="135">
        <f t="shared" si="4"/>
        <v>0</v>
      </c>
      <c r="I115" s="136"/>
      <c r="J115" s="136"/>
    </row>
    <row r="116">
      <c r="A116" s="142"/>
      <c r="B116" s="143"/>
      <c r="C116" s="138">
        <v>12.0</v>
      </c>
      <c r="D116" s="2" t="s">
        <v>170</v>
      </c>
      <c r="E116" s="3"/>
      <c r="F116" s="4"/>
      <c r="G116" s="112" t="s">
        <v>114</v>
      </c>
      <c r="H116" s="135">
        <f t="shared" si="4"/>
        <v>0</v>
      </c>
      <c r="I116" s="136"/>
      <c r="J116" s="136"/>
    </row>
    <row r="117">
      <c r="A117" s="142"/>
      <c r="B117" s="144" t="s">
        <v>171</v>
      </c>
      <c r="C117" s="138">
        <v>13.0</v>
      </c>
      <c r="D117" s="139" t="s">
        <v>172</v>
      </c>
      <c r="E117" s="3"/>
      <c r="F117" s="4"/>
      <c r="G117" s="112" t="s">
        <v>100</v>
      </c>
      <c r="H117" s="135">
        <f t="shared" si="4"/>
        <v>1</v>
      </c>
      <c r="I117" s="136"/>
      <c r="J117" s="136"/>
    </row>
    <row r="118">
      <c r="A118" s="142"/>
      <c r="B118" s="142"/>
      <c r="C118" s="138">
        <v>14.0</v>
      </c>
      <c r="D118" s="145" t="s">
        <v>173</v>
      </c>
      <c r="E118" s="3"/>
      <c r="F118" s="4"/>
      <c r="G118" s="112" t="s">
        <v>100</v>
      </c>
      <c r="H118" s="135">
        <f t="shared" si="4"/>
        <v>1</v>
      </c>
      <c r="I118" s="136"/>
      <c r="J118" s="136"/>
    </row>
    <row r="119">
      <c r="A119" s="142"/>
      <c r="B119" s="143"/>
      <c r="C119" s="138">
        <v>15.0</v>
      </c>
      <c r="D119" s="145" t="s">
        <v>174</v>
      </c>
      <c r="E119" s="3"/>
      <c r="F119" s="4"/>
      <c r="G119" s="112" t="s">
        <v>100</v>
      </c>
      <c r="H119" s="135">
        <f t="shared" si="4"/>
        <v>1</v>
      </c>
      <c r="I119" s="136"/>
      <c r="J119" s="136"/>
    </row>
    <row r="120">
      <c r="A120" s="142"/>
      <c r="B120" s="144" t="s">
        <v>175</v>
      </c>
      <c r="C120" s="138">
        <v>16.0</v>
      </c>
      <c r="D120" s="2" t="s">
        <v>176</v>
      </c>
      <c r="E120" s="3"/>
      <c r="F120" s="4"/>
      <c r="G120" s="112" t="s">
        <v>100</v>
      </c>
      <c r="H120" s="135">
        <f t="shared" si="4"/>
        <v>1</v>
      </c>
      <c r="I120" s="136"/>
      <c r="J120" s="136"/>
    </row>
    <row r="121">
      <c r="A121" s="142"/>
      <c r="B121" s="142"/>
      <c r="C121" s="138">
        <v>17.0</v>
      </c>
      <c r="D121" s="2" t="s">
        <v>177</v>
      </c>
      <c r="E121" s="3"/>
      <c r="F121" s="4"/>
      <c r="G121" s="112" t="s">
        <v>100</v>
      </c>
      <c r="H121" s="135">
        <f t="shared" si="4"/>
        <v>1</v>
      </c>
      <c r="I121" s="136"/>
      <c r="J121" s="136"/>
    </row>
    <row r="122">
      <c r="A122" s="142"/>
      <c r="B122" s="143"/>
      <c r="C122" s="138">
        <v>18.0</v>
      </c>
      <c r="D122" s="111" t="s">
        <v>178</v>
      </c>
      <c r="E122" s="3"/>
      <c r="F122" s="4"/>
      <c r="G122" s="112" t="s">
        <v>100</v>
      </c>
      <c r="H122" s="135">
        <f t="shared" si="4"/>
        <v>1</v>
      </c>
      <c r="I122" s="136"/>
      <c r="J122" s="136"/>
    </row>
    <row r="123">
      <c r="A123" s="142"/>
      <c r="B123" s="144" t="s">
        <v>179</v>
      </c>
      <c r="C123" s="138">
        <v>19.0</v>
      </c>
      <c r="D123" s="2" t="s">
        <v>180</v>
      </c>
      <c r="E123" s="3"/>
      <c r="F123" s="4"/>
      <c r="G123" s="112" t="s">
        <v>100</v>
      </c>
      <c r="H123" s="135">
        <f t="shared" si="4"/>
        <v>1</v>
      </c>
      <c r="I123" s="136"/>
      <c r="J123" s="136"/>
    </row>
    <row r="124">
      <c r="A124" s="142"/>
      <c r="B124" s="142"/>
      <c r="C124" s="138">
        <v>20.0</v>
      </c>
      <c r="D124" s="2" t="s">
        <v>181</v>
      </c>
      <c r="E124" s="3"/>
      <c r="F124" s="4"/>
      <c r="G124" s="112" t="s">
        <v>100</v>
      </c>
      <c r="H124" s="135">
        <f t="shared" si="4"/>
        <v>1</v>
      </c>
      <c r="I124" s="136"/>
      <c r="J124" s="136"/>
    </row>
    <row r="125">
      <c r="A125" s="142"/>
      <c r="B125" s="143"/>
      <c r="C125" s="138">
        <v>21.0</v>
      </c>
      <c r="D125" s="2" t="s">
        <v>182</v>
      </c>
      <c r="E125" s="3"/>
      <c r="F125" s="4"/>
      <c r="G125" s="112" t="s">
        <v>100</v>
      </c>
      <c r="H125" s="135">
        <f t="shared" si="4"/>
        <v>1</v>
      </c>
      <c r="I125" s="136"/>
      <c r="J125" s="136"/>
    </row>
    <row r="126">
      <c r="A126" s="142"/>
      <c r="B126" s="144" t="s">
        <v>183</v>
      </c>
      <c r="C126" s="138">
        <v>22.0</v>
      </c>
      <c r="D126" s="2" t="s">
        <v>184</v>
      </c>
      <c r="E126" s="3"/>
      <c r="F126" s="4"/>
      <c r="G126" s="112" t="s">
        <v>100</v>
      </c>
      <c r="H126" s="135">
        <f t="shared" si="4"/>
        <v>1</v>
      </c>
      <c r="I126" s="136"/>
      <c r="J126" s="136"/>
    </row>
    <row r="127">
      <c r="A127" s="142"/>
      <c r="B127" s="142"/>
      <c r="C127" s="138">
        <v>23.0</v>
      </c>
      <c r="D127" s="2" t="s">
        <v>185</v>
      </c>
      <c r="E127" s="3"/>
      <c r="F127" s="4"/>
      <c r="G127" s="112" t="s">
        <v>137</v>
      </c>
      <c r="H127" s="135">
        <f t="shared" si="4"/>
        <v>0.5</v>
      </c>
      <c r="I127" s="136"/>
      <c r="J127" s="136"/>
    </row>
    <row r="128">
      <c r="A128" s="142"/>
      <c r="B128" s="142"/>
      <c r="C128" s="138">
        <v>24.0</v>
      </c>
      <c r="D128" s="21" t="s">
        <v>186</v>
      </c>
      <c r="E128" s="3"/>
      <c r="F128" s="4"/>
      <c r="G128" s="112" t="s">
        <v>100</v>
      </c>
      <c r="H128" s="135">
        <f t="shared" si="4"/>
        <v>1</v>
      </c>
      <c r="I128" s="136"/>
      <c r="J128" s="136"/>
    </row>
    <row r="129">
      <c r="A129" s="143"/>
      <c r="B129" s="143"/>
      <c r="C129" s="138">
        <v>25.0</v>
      </c>
      <c r="D129" s="21" t="s">
        <v>187</v>
      </c>
      <c r="E129" s="3"/>
      <c r="F129" s="4"/>
      <c r="G129" s="112" t="s">
        <v>100</v>
      </c>
      <c r="H129" s="135">
        <f t="shared" si="4"/>
        <v>1</v>
      </c>
      <c r="I129" s="136"/>
      <c r="J129" s="136"/>
    </row>
    <row r="130">
      <c r="A130" s="146" t="s">
        <v>188</v>
      </c>
      <c r="B130" s="147" t="s">
        <v>189</v>
      </c>
      <c r="C130" s="124">
        <v>1.0</v>
      </c>
      <c r="D130" s="2" t="s">
        <v>190</v>
      </c>
      <c r="E130" s="3"/>
      <c r="F130" s="4"/>
      <c r="G130" s="112" t="s">
        <v>100</v>
      </c>
      <c r="H130" s="113">
        <f t="shared" si="4"/>
        <v>1</v>
      </c>
      <c r="I130" s="113"/>
      <c r="J130" s="114"/>
    </row>
    <row r="131">
      <c r="A131" s="53"/>
      <c r="B131" s="116"/>
      <c r="C131" s="124">
        <v>2.0</v>
      </c>
      <c r="D131" s="2" t="s">
        <v>191</v>
      </c>
      <c r="E131" s="3"/>
      <c r="F131" s="4"/>
      <c r="G131" s="112" t="s">
        <v>100</v>
      </c>
      <c r="H131" s="113">
        <f t="shared" si="4"/>
        <v>1</v>
      </c>
      <c r="I131" s="113"/>
      <c r="J131" s="114"/>
    </row>
    <row r="132">
      <c r="A132" s="53"/>
      <c r="B132" s="116"/>
      <c r="C132" s="124">
        <v>3.0</v>
      </c>
      <c r="D132" s="2" t="s">
        <v>192</v>
      </c>
      <c r="E132" s="3"/>
      <c r="F132" s="4"/>
      <c r="G132" s="112" t="s">
        <v>100</v>
      </c>
      <c r="H132" s="113">
        <f t="shared" si="4"/>
        <v>1</v>
      </c>
      <c r="I132" s="113"/>
      <c r="J132" s="114"/>
    </row>
    <row r="133">
      <c r="A133" s="53"/>
      <c r="B133" s="116"/>
      <c r="C133" s="124">
        <v>4.0</v>
      </c>
      <c r="D133" s="2" t="s">
        <v>193</v>
      </c>
      <c r="E133" s="3"/>
      <c r="F133" s="4"/>
      <c r="G133" s="112" t="s">
        <v>100</v>
      </c>
      <c r="H133" s="113">
        <f t="shared" si="4"/>
        <v>1</v>
      </c>
      <c r="I133" s="113"/>
      <c r="J133" s="114"/>
    </row>
    <row r="134">
      <c r="A134" s="53"/>
      <c r="B134" s="118"/>
      <c r="C134" s="124">
        <v>5.0</v>
      </c>
      <c r="D134" s="2" t="s">
        <v>194</v>
      </c>
      <c r="E134" s="3"/>
      <c r="F134" s="4"/>
      <c r="G134" s="112" t="s">
        <v>137</v>
      </c>
      <c r="H134" s="113">
        <f t="shared" si="4"/>
        <v>0.5</v>
      </c>
      <c r="I134" s="113"/>
      <c r="J134" s="114"/>
    </row>
    <row r="135">
      <c r="A135" s="53"/>
      <c r="B135" s="147" t="s">
        <v>195</v>
      </c>
      <c r="C135" s="124">
        <v>6.0</v>
      </c>
      <c r="D135" s="2" t="s">
        <v>196</v>
      </c>
      <c r="E135" s="3"/>
      <c r="F135" s="4"/>
      <c r="G135" s="112" t="s">
        <v>100</v>
      </c>
      <c r="H135" s="113">
        <f t="shared" si="4"/>
        <v>1</v>
      </c>
      <c r="I135" s="113"/>
      <c r="J135" s="114"/>
    </row>
    <row r="136">
      <c r="A136" s="53"/>
      <c r="B136" s="116"/>
      <c r="C136" s="124">
        <v>7.0</v>
      </c>
      <c r="D136" s="2" t="s">
        <v>197</v>
      </c>
      <c r="E136" s="3"/>
      <c r="F136" s="4"/>
      <c r="G136" s="112" t="s">
        <v>100</v>
      </c>
      <c r="H136" s="113">
        <f t="shared" si="4"/>
        <v>1</v>
      </c>
      <c r="I136" s="113"/>
      <c r="J136" s="114"/>
    </row>
    <row r="137">
      <c r="A137" s="53"/>
      <c r="B137" s="116"/>
      <c r="C137" s="124">
        <v>8.0</v>
      </c>
      <c r="D137" s="2" t="s">
        <v>198</v>
      </c>
      <c r="E137" s="3"/>
      <c r="F137" s="4"/>
      <c r="G137" s="112" t="s">
        <v>100</v>
      </c>
      <c r="H137" s="113">
        <f t="shared" si="4"/>
        <v>1</v>
      </c>
      <c r="I137" s="113"/>
      <c r="J137" s="114"/>
    </row>
    <row r="138">
      <c r="A138" s="53"/>
      <c r="B138" s="116"/>
      <c r="C138" s="124">
        <v>9.0</v>
      </c>
      <c r="D138" s="2" t="s">
        <v>199</v>
      </c>
      <c r="E138" s="3"/>
      <c r="F138" s="4"/>
      <c r="G138" s="112" t="s">
        <v>100</v>
      </c>
      <c r="H138" s="113">
        <f t="shared" si="4"/>
        <v>1</v>
      </c>
      <c r="I138" s="113"/>
      <c r="J138" s="114"/>
    </row>
    <row r="139">
      <c r="A139" s="53"/>
      <c r="B139" s="118"/>
      <c r="C139" s="124">
        <v>10.0</v>
      </c>
      <c r="D139" s="2" t="s">
        <v>200</v>
      </c>
      <c r="E139" s="3"/>
      <c r="F139" s="4"/>
      <c r="G139" s="112" t="s">
        <v>100</v>
      </c>
      <c r="H139" s="113">
        <f t="shared" si="4"/>
        <v>1</v>
      </c>
      <c r="I139" s="113"/>
      <c r="J139" s="114"/>
    </row>
    <row r="140">
      <c r="A140" s="53"/>
      <c r="B140" s="147" t="s">
        <v>201</v>
      </c>
      <c r="C140" s="124">
        <v>11.0</v>
      </c>
      <c r="D140" s="2" t="s">
        <v>202</v>
      </c>
      <c r="E140" s="3"/>
      <c r="F140" s="4"/>
      <c r="G140" s="112" t="s">
        <v>100</v>
      </c>
      <c r="H140" s="113">
        <f t="shared" si="4"/>
        <v>1</v>
      </c>
      <c r="I140" s="113"/>
      <c r="J140" s="114"/>
    </row>
    <row r="141">
      <c r="A141" s="53"/>
      <c r="B141" s="116"/>
      <c r="C141" s="124">
        <v>12.0</v>
      </c>
      <c r="D141" s="2" t="s">
        <v>203</v>
      </c>
      <c r="E141" s="3"/>
      <c r="F141" s="4"/>
      <c r="G141" s="112" t="s">
        <v>100</v>
      </c>
      <c r="H141" s="113">
        <f t="shared" si="4"/>
        <v>1</v>
      </c>
      <c r="I141" s="113"/>
      <c r="J141" s="114"/>
    </row>
    <row r="142">
      <c r="A142" s="53"/>
      <c r="B142" s="116"/>
      <c r="C142" s="124">
        <v>13.0</v>
      </c>
      <c r="D142" s="2" t="s">
        <v>204</v>
      </c>
      <c r="E142" s="3"/>
      <c r="F142" s="4"/>
      <c r="G142" s="112" t="s">
        <v>100</v>
      </c>
      <c r="H142" s="113">
        <f t="shared" si="4"/>
        <v>1</v>
      </c>
      <c r="I142" s="113"/>
      <c r="J142" s="114"/>
    </row>
    <row r="143">
      <c r="A143" s="53"/>
      <c r="B143" s="116"/>
      <c r="C143" s="124">
        <v>14.0</v>
      </c>
      <c r="D143" s="2" t="s">
        <v>205</v>
      </c>
      <c r="E143" s="3"/>
      <c r="F143" s="4"/>
      <c r="G143" s="112" t="s">
        <v>100</v>
      </c>
      <c r="H143" s="113">
        <f t="shared" si="4"/>
        <v>1</v>
      </c>
      <c r="I143" s="113"/>
      <c r="J143" s="114"/>
    </row>
    <row r="144">
      <c r="A144" s="53"/>
      <c r="B144" s="116"/>
      <c r="C144" s="124">
        <v>15.0</v>
      </c>
      <c r="D144" s="2" t="s">
        <v>206</v>
      </c>
      <c r="E144" s="3"/>
      <c r="F144" s="4"/>
      <c r="G144" s="112" t="s">
        <v>100</v>
      </c>
      <c r="H144" s="113">
        <f t="shared" si="4"/>
        <v>1</v>
      </c>
      <c r="I144" s="113"/>
      <c r="J144" s="114"/>
    </row>
    <row r="145">
      <c r="A145" s="53"/>
      <c r="B145" s="116"/>
      <c r="C145" s="124">
        <v>16.0</v>
      </c>
      <c r="D145" s="2" t="s">
        <v>207</v>
      </c>
      <c r="E145" s="3"/>
      <c r="F145" s="4"/>
      <c r="G145" s="112" t="s">
        <v>137</v>
      </c>
      <c r="H145" s="113">
        <f t="shared" si="4"/>
        <v>0.5</v>
      </c>
      <c r="I145" s="113"/>
      <c r="J145" s="114"/>
    </row>
    <row r="146">
      <c r="A146" s="53"/>
      <c r="B146" s="116"/>
      <c r="C146" s="124">
        <v>17.0</v>
      </c>
      <c r="D146" s="2" t="s">
        <v>208</v>
      </c>
      <c r="E146" s="3"/>
      <c r="F146" s="4"/>
      <c r="G146" s="112" t="s">
        <v>100</v>
      </c>
      <c r="H146" s="113">
        <f t="shared" si="4"/>
        <v>1</v>
      </c>
      <c r="I146" s="113"/>
      <c r="J146" s="114"/>
    </row>
    <row r="147">
      <c r="A147" s="53"/>
      <c r="B147" s="116"/>
      <c r="C147" s="124">
        <v>18.0</v>
      </c>
      <c r="D147" s="2" t="s">
        <v>209</v>
      </c>
      <c r="E147" s="3"/>
      <c r="F147" s="4"/>
      <c r="G147" s="112" t="s">
        <v>100</v>
      </c>
      <c r="H147" s="113">
        <f t="shared" si="4"/>
        <v>1</v>
      </c>
      <c r="I147" s="113"/>
      <c r="J147" s="114"/>
    </row>
    <row r="148">
      <c r="A148" s="53"/>
      <c r="B148" s="116"/>
      <c r="C148" s="124">
        <v>19.0</v>
      </c>
      <c r="D148" s="2" t="s">
        <v>210</v>
      </c>
      <c r="E148" s="3"/>
      <c r="F148" s="4"/>
      <c r="G148" s="112" t="s">
        <v>137</v>
      </c>
      <c r="H148" s="113">
        <f t="shared" si="4"/>
        <v>0.5</v>
      </c>
      <c r="I148" s="113"/>
      <c r="J148" s="114"/>
    </row>
    <row r="149">
      <c r="A149" s="53"/>
      <c r="B149" s="116"/>
      <c r="C149" s="124">
        <v>20.0</v>
      </c>
      <c r="D149" s="2" t="s">
        <v>211</v>
      </c>
      <c r="E149" s="3"/>
      <c r="F149" s="4"/>
      <c r="G149" s="112" t="s">
        <v>100</v>
      </c>
      <c r="H149" s="113">
        <f t="shared" si="4"/>
        <v>1</v>
      </c>
      <c r="I149" s="113"/>
      <c r="J149" s="114"/>
    </row>
    <row r="150">
      <c r="A150" s="53"/>
      <c r="B150" s="116"/>
      <c r="C150" s="124">
        <v>21.0</v>
      </c>
      <c r="D150" s="2" t="s">
        <v>212</v>
      </c>
      <c r="E150" s="3"/>
      <c r="F150" s="4"/>
      <c r="G150" s="112" t="s">
        <v>100</v>
      </c>
      <c r="H150" s="113">
        <f t="shared" si="4"/>
        <v>1</v>
      </c>
      <c r="I150" s="113"/>
      <c r="J150" s="114"/>
    </row>
    <row r="151">
      <c r="A151" s="53"/>
      <c r="B151" s="116"/>
      <c r="C151" s="124">
        <v>22.0</v>
      </c>
      <c r="D151" s="2" t="s">
        <v>213</v>
      </c>
      <c r="E151" s="3"/>
      <c r="F151" s="4"/>
      <c r="G151" s="112" t="s">
        <v>100</v>
      </c>
      <c r="H151" s="113">
        <f t="shared" si="4"/>
        <v>1</v>
      </c>
      <c r="I151" s="113"/>
      <c r="J151" s="114"/>
    </row>
    <row r="152">
      <c r="A152" s="53"/>
      <c r="B152" s="118"/>
      <c r="C152" s="124">
        <v>23.0</v>
      </c>
      <c r="D152" s="2" t="s">
        <v>214</v>
      </c>
      <c r="E152" s="3"/>
      <c r="F152" s="4"/>
      <c r="G152" s="112" t="s">
        <v>100</v>
      </c>
      <c r="H152" s="113">
        <f t="shared" si="4"/>
        <v>1</v>
      </c>
      <c r="I152" s="114" t="s">
        <v>215</v>
      </c>
      <c r="J152" s="114"/>
    </row>
    <row r="153">
      <c r="A153" s="53"/>
      <c r="B153" s="147" t="s">
        <v>216</v>
      </c>
      <c r="C153" s="124">
        <v>24.0</v>
      </c>
      <c r="D153" s="2" t="s">
        <v>217</v>
      </c>
      <c r="E153" s="3"/>
      <c r="F153" s="4"/>
      <c r="G153" s="112" t="s">
        <v>100</v>
      </c>
      <c r="H153" s="113">
        <f t="shared" si="4"/>
        <v>1</v>
      </c>
      <c r="I153" s="113"/>
      <c r="J153" s="114"/>
    </row>
    <row r="154">
      <c r="A154" s="53"/>
      <c r="B154" s="116"/>
      <c r="C154" s="124">
        <v>25.0</v>
      </c>
      <c r="D154" s="2" t="s">
        <v>218</v>
      </c>
      <c r="E154" s="3"/>
      <c r="F154" s="4"/>
      <c r="G154" s="112" t="s">
        <v>100</v>
      </c>
      <c r="H154" s="113">
        <f t="shared" si="4"/>
        <v>1</v>
      </c>
      <c r="I154" s="148" t="s">
        <v>219</v>
      </c>
      <c r="J154" s="114"/>
    </row>
    <row r="155">
      <c r="A155" s="53"/>
      <c r="B155" s="116"/>
      <c r="C155" s="124">
        <v>26.0</v>
      </c>
      <c r="D155" s="2" t="s">
        <v>220</v>
      </c>
      <c r="E155" s="3"/>
      <c r="F155" s="4"/>
      <c r="G155" s="112" t="s">
        <v>114</v>
      </c>
      <c r="H155" s="113">
        <f t="shared" si="4"/>
        <v>0</v>
      </c>
      <c r="I155" s="113"/>
      <c r="J155" s="114"/>
    </row>
    <row r="156">
      <c r="A156" s="53"/>
      <c r="B156" s="116"/>
      <c r="C156" s="124">
        <v>27.0</v>
      </c>
      <c r="D156" s="2" t="s">
        <v>221</v>
      </c>
      <c r="E156" s="3"/>
      <c r="F156" s="4"/>
      <c r="G156" s="112" t="s">
        <v>100</v>
      </c>
      <c r="H156" s="113">
        <f t="shared" si="4"/>
        <v>1</v>
      </c>
      <c r="I156" s="113"/>
      <c r="J156" s="114"/>
    </row>
    <row r="157">
      <c r="A157" s="53"/>
      <c r="B157" s="116"/>
      <c r="C157" s="124">
        <v>28.0</v>
      </c>
      <c r="D157" s="2" t="s">
        <v>222</v>
      </c>
      <c r="E157" s="3"/>
      <c r="F157" s="4"/>
      <c r="G157" s="112" t="s">
        <v>114</v>
      </c>
      <c r="H157" s="113">
        <f t="shared" si="4"/>
        <v>0</v>
      </c>
      <c r="I157" s="113"/>
      <c r="J157" s="114"/>
    </row>
    <row r="158">
      <c r="A158" s="53"/>
      <c r="B158" s="116"/>
      <c r="C158" s="124">
        <v>29.0</v>
      </c>
      <c r="D158" s="2" t="s">
        <v>223</v>
      </c>
      <c r="E158" s="3"/>
      <c r="F158" s="4"/>
      <c r="G158" s="112" t="s">
        <v>114</v>
      </c>
      <c r="H158" s="113">
        <f t="shared" si="4"/>
        <v>0</v>
      </c>
      <c r="I158" s="113"/>
      <c r="J158" s="114"/>
    </row>
    <row r="159">
      <c r="A159" s="53"/>
      <c r="B159" s="116"/>
      <c r="C159" s="124">
        <v>30.0</v>
      </c>
      <c r="D159" s="2" t="s">
        <v>224</v>
      </c>
      <c r="E159" s="3"/>
      <c r="F159" s="4"/>
      <c r="G159" s="112" t="s">
        <v>137</v>
      </c>
      <c r="H159" s="113">
        <f t="shared" si="4"/>
        <v>0.5</v>
      </c>
      <c r="I159" s="113"/>
      <c r="J159" s="114"/>
    </row>
    <row r="160">
      <c r="A160" s="53"/>
      <c r="B160" s="118"/>
      <c r="C160" s="124">
        <v>31.0</v>
      </c>
      <c r="D160" s="2" t="s">
        <v>225</v>
      </c>
      <c r="E160" s="3"/>
      <c r="F160" s="4"/>
      <c r="G160" s="112" t="s">
        <v>100</v>
      </c>
      <c r="H160" s="113">
        <f t="shared" si="4"/>
        <v>1</v>
      </c>
      <c r="I160" s="113"/>
      <c r="J160" s="114"/>
    </row>
    <row r="161">
      <c r="A161" s="107" t="s">
        <v>226</v>
      </c>
      <c r="B161" s="58"/>
      <c r="C161" s="58"/>
      <c r="D161" s="58"/>
      <c r="E161" s="58"/>
      <c r="F161" s="58"/>
      <c r="G161" s="58"/>
      <c r="H161" s="58"/>
      <c r="I161" s="58"/>
      <c r="J161" s="59"/>
    </row>
    <row r="162">
      <c r="A162" s="149"/>
      <c r="B162" s="150" t="s">
        <v>227</v>
      </c>
      <c r="C162" s="138">
        <v>1.0</v>
      </c>
      <c r="D162" s="2" t="s">
        <v>228</v>
      </c>
      <c r="E162" s="3"/>
      <c r="F162" s="4"/>
      <c r="G162" s="112" t="s">
        <v>114</v>
      </c>
      <c r="H162" s="113">
        <f t="shared" ref="H162:H172" si="5">IF(G162="〇", 1, IF(G162="△", 0.5, 0))</f>
        <v>0</v>
      </c>
      <c r="I162" s="114" t="s">
        <v>101</v>
      </c>
      <c r="J162" s="113"/>
    </row>
    <row r="163">
      <c r="A163" s="149"/>
      <c r="B163" s="142"/>
      <c r="C163" s="138">
        <v>2.0</v>
      </c>
      <c r="D163" s="2" t="s">
        <v>229</v>
      </c>
      <c r="E163" s="3"/>
      <c r="F163" s="4"/>
      <c r="G163" s="112" t="s">
        <v>100</v>
      </c>
      <c r="H163" s="113">
        <f t="shared" si="5"/>
        <v>1</v>
      </c>
      <c r="I163" s="113"/>
      <c r="J163" s="113"/>
    </row>
    <row r="164">
      <c r="A164" s="149"/>
      <c r="B164" s="142"/>
      <c r="C164" s="138">
        <v>3.0</v>
      </c>
      <c r="D164" s="2" t="s">
        <v>230</v>
      </c>
      <c r="E164" s="3"/>
      <c r="F164" s="4"/>
      <c r="G164" s="112" t="s">
        <v>100</v>
      </c>
      <c r="H164" s="113">
        <f t="shared" si="5"/>
        <v>1</v>
      </c>
      <c r="I164" s="114" t="s">
        <v>101</v>
      </c>
      <c r="J164" s="113"/>
    </row>
    <row r="165">
      <c r="A165" s="149" t="s">
        <v>36</v>
      </c>
      <c r="B165" s="142"/>
      <c r="C165" s="138">
        <v>4.0</v>
      </c>
      <c r="D165" s="2" t="s">
        <v>231</v>
      </c>
      <c r="E165" s="3"/>
      <c r="F165" s="4"/>
      <c r="G165" s="112" t="s">
        <v>137</v>
      </c>
      <c r="H165" s="113">
        <f t="shared" si="5"/>
        <v>0.5</v>
      </c>
      <c r="I165" s="113"/>
      <c r="J165" s="113"/>
    </row>
    <row r="166">
      <c r="A166" s="149"/>
      <c r="B166" s="143"/>
      <c r="C166" s="138">
        <v>5.0</v>
      </c>
      <c r="D166" s="2" t="s">
        <v>232</v>
      </c>
      <c r="E166" s="3"/>
      <c r="F166" s="4"/>
      <c r="G166" s="112" t="s">
        <v>100</v>
      </c>
      <c r="H166" s="113">
        <f t="shared" si="5"/>
        <v>1</v>
      </c>
      <c r="I166" s="113"/>
      <c r="J166" s="113"/>
    </row>
    <row r="167">
      <c r="A167" s="149"/>
      <c r="B167" s="151" t="s">
        <v>233</v>
      </c>
      <c r="C167" s="138">
        <v>6.0</v>
      </c>
      <c r="D167" s="2" t="s">
        <v>234</v>
      </c>
      <c r="E167" s="3"/>
      <c r="F167" s="4"/>
      <c r="G167" s="112" t="s">
        <v>100</v>
      </c>
      <c r="H167" s="113">
        <f t="shared" si="5"/>
        <v>1</v>
      </c>
      <c r="I167" s="113"/>
      <c r="J167" s="113"/>
    </row>
    <row r="168">
      <c r="A168" s="149"/>
      <c r="B168" s="142"/>
      <c r="C168" s="138">
        <v>7.0</v>
      </c>
      <c r="D168" s="2" t="s">
        <v>235</v>
      </c>
      <c r="E168" s="3"/>
      <c r="F168" s="4"/>
      <c r="G168" s="112" t="s">
        <v>100</v>
      </c>
      <c r="H168" s="113">
        <f t="shared" si="5"/>
        <v>1</v>
      </c>
      <c r="I168" s="113"/>
      <c r="J168" s="113"/>
    </row>
    <row r="169">
      <c r="A169" s="149"/>
      <c r="B169" s="142"/>
      <c r="C169" s="138">
        <v>8.0</v>
      </c>
      <c r="D169" s="2" t="s">
        <v>236</v>
      </c>
      <c r="E169" s="3"/>
      <c r="F169" s="4"/>
      <c r="G169" s="112" t="s">
        <v>100</v>
      </c>
      <c r="H169" s="113">
        <f t="shared" si="5"/>
        <v>1</v>
      </c>
      <c r="I169" s="113"/>
      <c r="J169" s="113"/>
    </row>
    <row r="170">
      <c r="A170" s="149"/>
      <c r="B170" s="142"/>
      <c r="C170" s="138">
        <v>9.0</v>
      </c>
      <c r="D170" s="2" t="s">
        <v>237</v>
      </c>
      <c r="E170" s="3"/>
      <c r="F170" s="4"/>
      <c r="G170" s="112" t="s">
        <v>100</v>
      </c>
      <c r="H170" s="113">
        <f t="shared" si="5"/>
        <v>1</v>
      </c>
      <c r="I170" s="113"/>
      <c r="J170" s="113"/>
    </row>
    <row r="171">
      <c r="A171" s="149"/>
      <c r="B171" s="142"/>
      <c r="C171" s="138">
        <v>10.0</v>
      </c>
      <c r="D171" s="2" t="s">
        <v>238</v>
      </c>
      <c r="E171" s="3"/>
      <c r="F171" s="4"/>
      <c r="G171" s="112" t="s">
        <v>100</v>
      </c>
      <c r="H171" s="113">
        <f t="shared" si="5"/>
        <v>1</v>
      </c>
      <c r="I171" s="113"/>
      <c r="J171" s="113"/>
    </row>
    <row r="172">
      <c r="A172" s="149"/>
      <c r="B172" s="143"/>
      <c r="C172" s="138">
        <v>11.0</v>
      </c>
      <c r="D172" s="2" t="s">
        <v>239</v>
      </c>
      <c r="E172" s="3"/>
      <c r="F172" s="4"/>
      <c r="G172" s="112" t="s">
        <v>100</v>
      </c>
      <c r="H172" s="113">
        <f t="shared" si="5"/>
        <v>1</v>
      </c>
      <c r="I172" s="113"/>
      <c r="J172" s="113"/>
    </row>
  </sheetData>
  <mergeCells count="197">
    <mergeCell ref="C40:E40"/>
    <mergeCell ref="F40:G40"/>
    <mergeCell ref="A41:B41"/>
    <mergeCell ref="C41:E41"/>
    <mergeCell ref="F41:G41"/>
    <mergeCell ref="H41:J41"/>
    <mergeCell ref="A42:B42"/>
    <mergeCell ref="H42:J42"/>
    <mergeCell ref="C42:E42"/>
    <mergeCell ref="F42:G42"/>
    <mergeCell ref="A43:B43"/>
    <mergeCell ref="C43:E43"/>
    <mergeCell ref="F43:G43"/>
    <mergeCell ref="H43:J43"/>
    <mergeCell ref="A44:B44"/>
    <mergeCell ref="H44:J44"/>
    <mergeCell ref="B1:D1"/>
    <mergeCell ref="I1:J1"/>
    <mergeCell ref="B2:D2"/>
    <mergeCell ref="B3:D3"/>
    <mergeCell ref="B4:D4"/>
    <mergeCell ref="B5:D5"/>
    <mergeCell ref="B6:D6"/>
    <mergeCell ref="B7:D7"/>
    <mergeCell ref="B8:D8"/>
    <mergeCell ref="B9:D9"/>
    <mergeCell ref="B10:D10"/>
    <mergeCell ref="B11:D11"/>
    <mergeCell ref="B12:D12"/>
    <mergeCell ref="B13:D13"/>
    <mergeCell ref="B14:D14"/>
    <mergeCell ref="B15:D15"/>
    <mergeCell ref="A16:D16"/>
    <mergeCell ref="A17:D31"/>
    <mergeCell ref="A33:E33"/>
    <mergeCell ref="F33:J33"/>
    <mergeCell ref="A34:B34"/>
    <mergeCell ref="H34:J34"/>
    <mergeCell ref="C34:E34"/>
    <mergeCell ref="F34:G34"/>
    <mergeCell ref="A35:B35"/>
    <mergeCell ref="C35:E35"/>
    <mergeCell ref="F35:G35"/>
    <mergeCell ref="H35:J35"/>
    <mergeCell ref="A36:B36"/>
    <mergeCell ref="H36:J36"/>
    <mergeCell ref="C36:E36"/>
    <mergeCell ref="F36:G36"/>
    <mergeCell ref="A37:B37"/>
    <mergeCell ref="C37:E37"/>
    <mergeCell ref="F37:G37"/>
    <mergeCell ref="H37:J37"/>
    <mergeCell ref="A38:B38"/>
    <mergeCell ref="H38:J38"/>
    <mergeCell ref="C38:E38"/>
    <mergeCell ref="F38:G38"/>
    <mergeCell ref="A39:B39"/>
    <mergeCell ref="C39:E39"/>
    <mergeCell ref="F39:G39"/>
    <mergeCell ref="H39:J39"/>
    <mergeCell ref="A40:B40"/>
    <mergeCell ref="H40:J40"/>
    <mergeCell ref="C46:E46"/>
    <mergeCell ref="F46:G46"/>
    <mergeCell ref="H46:J46"/>
    <mergeCell ref="A48:J49"/>
    <mergeCell ref="A50:J68"/>
    <mergeCell ref="D70:F70"/>
    <mergeCell ref="A71:J71"/>
    <mergeCell ref="A72:A81"/>
    <mergeCell ref="D74:F74"/>
    <mergeCell ref="A82:J82"/>
    <mergeCell ref="D83:F83"/>
    <mergeCell ref="D84:F84"/>
    <mergeCell ref="D85:F85"/>
    <mergeCell ref="D86:F86"/>
    <mergeCell ref="D87:F87"/>
    <mergeCell ref="D88:F88"/>
    <mergeCell ref="C44:E44"/>
    <mergeCell ref="F44:G44"/>
    <mergeCell ref="A45:B45"/>
    <mergeCell ref="C45:E45"/>
    <mergeCell ref="F45:G45"/>
    <mergeCell ref="H45:J45"/>
    <mergeCell ref="A46:B46"/>
    <mergeCell ref="D72:F72"/>
    <mergeCell ref="D73:F73"/>
    <mergeCell ref="B72:B74"/>
    <mergeCell ref="B75:B78"/>
    <mergeCell ref="A83:A104"/>
    <mergeCell ref="B83:B90"/>
    <mergeCell ref="B91:B95"/>
    <mergeCell ref="D75:F75"/>
    <mergeCell ref="D76:F76"/>
    <mergeCell ref="D77:F77"/>
    <mergeCell ref="D78:F78"/>
    <mergeCell ref="B79:B81"/>
    <mergeCell ref="D79:F79"/>
    <mergeCell ref="D80:F80"/>
    <mergeCell ref="D81:F81"/>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8:F108"/>
    <mergeCell ref="D109:F109"/>
    <mergeCell ref="D110:F110"/>
    <mergeCell ref="D111:F111"/>
    <mergeCell ref="D112:F112"/>
    <mergeCell ref="D113:F113"/>
    <mergeCell ref="D114:F114"/>
    <mergeCell ref="D115:F115"/>
    <mergeCell ref="B105:B116"/>
    <mergeCell ref="B117:B119"/>
    <mergeCell ref="D117:F117"/>
    <mergeCell ref="D118:F118"/>
    <mergeCell ref="D153:F153"/>
    <mergeCell ref="D154:F154"/>
    <mergeCell ref="A161:J161"/>
    <mergeCell ref="D146:F146"/>
    <mergeCell ref="D147:F147"/>
    <mergeCell ref="D148:F148"/>
    <mergeCell ref="D149:F149"/>
    <mergeCell ref="D150:F150"/>
    <mergeCell ref="D151:F151"/>
    <mergeCell ref="D152:F152"/>
    <mergeCell ref="D163:F163"/>
    <mergeCell ref="D164:F164"/>
    <mergeCell ref="D155:F155"/>
    <mergeCell ref="D156:F156"/>
    <mergeCell ref="D157:F157"/>
    <mergeCell ref="D158:F158"/>
    <mergeCell ref="D159:F159"/>
    <mergeCell ref="D160:F160"/>
    <mergeCell ref="D162:F162"/>
    <mergeCell ref="D119:F119"/>
    <mergeCell ref="B120:B122"/>
    <mergeCell ref="D120:F120"/>
    <mergeCell ref="D121:F121"/>
    <mergeCell ref="D122:F122"/>
    <mergeCell ref="B123:B125"/>
    <mergeCell ref="D123:F123"/>
    <mergeCell ref="D124:F124"/>
    <mergeCell ref="D125:F125"/>
    <mergeCell ref="A130:A160"/>
    <mergeCell ref="B130:B134"/>
    <mergeCell ref="B135:B139"/>
    <mergeCell ref="B140:B152"/>
    <mergeCell ref="B153:B160"/>
    <mergeCell ref="B162:B166"/>
    <mergeCell ref="B167:B172"/>
    <mergeCell ref="D103:F103"/>
    <mergeCell ref="D104:F104"/>
    <mergeCell ref="A105:A129"/>
    <mergeCell ref="D105:F105"/>
    <mergeCell ref="D106:F106"/>
    <mergeCell ref="D107:F107"/>
    <mergeCell ref="D116:F116"/>
    <mergeCell ref="B126:B129"/>
    <mergeCell ref="D126:F126"/>
    <mergeCell ref="D127:F127"/>
    <mergeCell ref="D128:F128"/>
    <mergeCell ref="D129:F129"/>
    <mergeCell ref="D130:F130"/>
    <mergeCell ref="D131:F131"/>
    <mergeCell ref="D132:F132"/>
    <mergeCell ref="D133:F133"/>
    <mergeCell ref="D134:F134"/>
    <mergeCell ref="D135:F135"/>
    <mergeCell ref="D136:F136"/>
    <mergeCell ref="D137:F137"/>
    <mergeCell ref="D138:F138"/>
    <mergeCell ref="D165:F165"/>
    <mergeCell ref="D166:F166"/>
    <mergeCell ref="D167:F167"/>
    <mergeCell ref="D168:F168"/>
    <mergeCell ref="D169:F169"/>
    <mergeCell ref="D170:F170"/>
    <mergeCell ref="D171:F171"/>
    <mergeCell ref="D172:F172"/>
    <mergeCell ref="D139:F139"/>
    <mergeCell ref="D140:F140"/>
    <mergeCell ref="D141:F141"/>
    <mergeCell ref="D142:F142"/>
    <mergeCell ref="D143:F143"/>
    <mergeCell ref="D144:F144"/>
    <mergeCell ref="D145:F145"/>
  </mergeCells>
  <conditionalFormatting sqref="G72:G81 G83:G160 G162:G172">
    <cfRule type="cellIs" dxfId="0" priority="1" operator="equal">
      <formula>"✕"</formula>
    </cfRule>
  </conditionalFormatting>
  <dataValidations>
    <dataValidation type="list" allowBlank="1" sqref="G72:G81 G83:G160 G162:G172">
      <formula1>"〇,△,✕"</formula1>
    </dataValidation>
  </dataValidations>
  <hyperlinks>
    <hyperlink r:id="rId1" ref="B3"/>
    <hyperlink r:id="rId2" ref="B7"/>
    <hyperlink r:id="rId3" ref="B8"/>
    <hyperlink r:id="rId4" ref="B9"/>
    <hyperlink r:id="rId5" ref="I154"/>
  </hyperlinks>
  <printOptions gridLines="1" horizontalCentered="1"/>
  <pageMargins bottom="0.75" footer="0.0" header="0.0" left="0.7" right="0.7" top="0.75"/>
  <pageSetup fitToHeight="0" paperSize="9" cellComments="atEnd" orientation="portrait" pageOrder="overThenDown"/>
  <drawing r:id="rId6"/>
</worksheet>
</file>